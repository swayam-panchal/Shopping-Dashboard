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soyam\Downloads\"/>
    </mc:Choice>
  </mc:AlternateContent>
  <xr:revisionPtr revIDLastSave="0" documentId="13_ncr:1_{94E0EFFF-6791-46C9-9570-2AD8AC07B9FD}" xr6:coauthVersionLast="47" xr6:coauthVersionMax="47" xr10:uidLastSave="{00000000-0000-0000-0000-000000000000}"/>
  <bookViews>
    <workbookView xWindow="-120" yWindow="-120" windowWidth="20730" windowHeight="11160" activeTab="2" xr2:uid="{00000000-000D-0000-FFFF-FFFF00000000}"/>
  </bookViews>
  <sheets>
    <sheet name="Pivot" sheetId="2" r:id="rId1"/>
    <sheet name="Ecommerce_Data" sheetId="1" r:id="rId2"/>
    <sheet name="Dashboard" sheetId="3" r:id="rId3"/>
  </sheets>
  <definedNames>
    <definedName name="_xlnm._FilterDatabase" localSheetId="1" hidden="1">Ecommerce_Data!$A$1:$J$138</definedName>
    <definedName name="_xlchart.v1.0" hidden="1">Pivot!$M$4:$M$11</definedName>
    <definedName name="_xlchart.v1.1" hidden="1">Pivot!$N$3</definedName>
    <definedName name="_xlchart.v1.2" hidden="1">Pivot!$N$4:$N$11</definedName>
    <definedName name="_xlchart.v1.3" hidden="1">Pivot!$M$4:$M$11</definedName>
    <definedName name="_xlchart.v1.4" hidden="1">Pivot!$N$3</definedName>
    <definedName name="_xlchart.v1.5" hidden="1">Pivot!$N$4:$N$11</definedName>
    <definedName name="Slicer_Order_ID">#N/A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38" i="1" l="1"/>
  <c r="N5" i="2"/>
  <c r="N9" i="2"/>
  <c r="N10" i="2"/>
  <c r="N11" i="2"/>
  <c r="N8" i="2"/>
  <c r="N6" i="2"/>
  <c r="N7" i="2"/>
  <c r="N4" i="2"/>
  <c r="K2" i="2"/>
  <c r="H2" i="2"/>
  <c r="E2" i="2"/>
  <c r="A2" i="2"/>
</calcChain>
</file>

<file path=xl/sharedStrings.xml><?xml version="1.0" encoding="utf-8"?>
<sst xmlns="http://schemas.openxmlformats.org/spreadsheetml/2006/main" count="624" uniqueCount="119">
  <si>
    <t>Order ID</t>
  </si>
  <si>
    <t>Date</t>
  </si>
  <si>
    <t>Product Name</t>
  </si>
  <si>
    <t>Category</t>
  </si>
  <si>
    <t>Purchase Price</t>
  </si>
  <si>
    <t>Sale Price</t>
  </si>
  <si>
    <t>Quantity</t>
  </si>
  <si>
    <t>Revenue</t>
  </si>
  <si>
    <t>Profit</t>
  </si>
  <si>
    <t>Bluetooth Headset</t>
  </si>
  <si>
    <t>Electronics</t>
  </si>
  <si>
    <t>Sports Shoes</t>
  </si>
  <si>
    <t>Footwear</t>
  </si>
  <si>
    <t>Wireless Mouse</t>
  </si>
  <si>
    <t>LED Table Lamp</t>
  </si>
  <si>
    <t>Home Decor</t>
  </si>
  <si>
    <t>Jeans</t>
  </si>
  <si>
    <t>Fashion</t>
  </si>
  <si>
    <t>Water Bottle</t>
  </si>
  <si>
    <t>Home &amp; Kitchen</t>
  </si>
  <si>
    <t>Mobile Cover</t>
  </si>
  <si>
    <t>Accessories</t>
  </si>
  <si>
    <t>Cotton T-Shirt</t>
  </si>
  <si>
    <t>21 Apr 2025</t>
  </si>
  <si>
    <t>30 Mar 2025</t>
  </si>
  <si>
    <t>11 Mar 2025</t>
  </si>
  <si>
    <t>16 Jan 2025</t>
  </si>
  <si>
    <t>10 Apr 2025</t>
  </si>
  <si>
    <t>22 Jan 2025</t>
  </si>
  <si>
    <t>10 Feb 2025</t>
  </si>
  <si>
    <t>05 Feb 2025</t>
  </si>
  <si>
    <t>20 Jan 2025</t>
  </si>
  <si>
    <t>09 Apr 2025</t>
  </si>
  <si>
    <t>05 Jan 2025</t>
  </si>
  <si>
    <t>05 Mar 2025</t>
  </si>
  <si>
    <t>12 Feb 2025</t>
  </si>
  <si>
    <t>18 Feb 2025</t>
  </si>
  <si>
    <t>06 Mar 2025</t>
  </si>
  <si>
    <t>23 Mar 2025</t>
  </si>
  <si>
    <t>28 Mar 2025</t>
  </si>
  <si>
    <t>27 Apr 2025</t>
  </si>
  <si>
    <t>06 Feb 2025</t>
  </si>
  <si>
    <t>14 Mar 2025</t>
  </si>
  <si>
    <t>31 Mar 2025</t>
  </si>
  <si>
    <t>30 Apr 2025</t>
  </si>
  <si>
    <t>29 Mar 2025</t>
  </si>
  <si>
    <t>28 Jan 2025</t>
  </si>
  <si>
    <t>06 Jan 2025</t>
  </si>
  <si>
    <t>14 Apr 2025</t>
  </si>
  <si>
    <t>20 Apr 2025</t>
  </si>
  <si>
    <t>01 May 2025</t>
  </si>
  <si>
    <t>01 Feb 2025</t>
  </si>
  <si>
    <t>06 Apr 2025</t>
  </si>
  <si>
    <t>21 Mar 2025</t>
  </si>
  <si>
    <t>11 Jan 2025</t>
  </si>
  <si>
    <t>24 Jan 2025</t>
  </si>
  <si>
    <t>27 Mar 2025</t>
  </si>
  <si>
    <t>22 Feb 2025</t>
  </si>
  <si>
    <t>15 Mar 2025</t>
  </si>
  <si>
    <t>02 Mar 2025</t>
  </si>
  <si>
    <t>15 Jan 2025</t>
  </si>
  <si>
    <t>08 Jan 2025</t>
  </si>
  <si>
    <t>27 Jan 2025</t>
  </si>
  <si>
    <t>30 Jan 2025</t>
  </si>
  <si>
    <t>10 Jan 2025</t>
  </si>
  <si>
    <t>04 Jan 2025</t>
  </si>
  <si>
    <t>17 Feb 2025</t>
  </si>
  <si>
    <t>25 Mar 2025</t>
  </si>
  <si>
    <t>24 Mar 2025</t>
  </si>
  <si>
    <t>29 Apr 2025</t>
  </si>
  <si>
    <t>25 Feb 2025</t>
  </si>
  <si>
    <t>02 Jan 2025</t>
  </si>
  <si>
    <t>22 Apr 2025</t>
  </si>
  <si>
    <t>07 Jan 2025</t>
  </si>
  <si>
    <t>21 Jan 2025</t>
  </si>
  <si>
    <t>16 Mar 2025</t>
  </si>
  <si>
    <t>08 Feb 2025</t>
  </si>
  <si>
    <t>09 Feb 2025</t>
  </si>
  <si>
    <t>04 Mar 2025</t>
  </si>
  <si>
    <t>19 Jan 2025</t>
  </si>
  <si>
    <t>07 Feb 2025</t>
  </si>
  <si>
    <t>02 Feb 2025</t>
  </si>
  <si>
    <t>10 Mar 2025</t>
  </si>
  <si>
    <t>28 Feb 2025</t>
  </si>
  <si>
    <t>08 Apr 2025</t>
  </si>
  <si>
    <t>03 Jan 2025</t>
  </si>
  <si>
    <t>29 Jan 2025</t>
  </si>
  <si>
    <t>18 Jan 2025</t>
  </si>
  <si>
    <t>03 Feb 2025</t>
  </si>
  <si>
    <t>19 Mar 2025</t>
  </si>
  <si>
    <t>25 Apr 2025</t>
  </si>
  <si>
    <t>24 Feb 2025</t>
  </si>
  <si>
    <t>23 Apr 2025</t>
  </si>
  <si>
    <t>05 Apr 2025</t>
  </si>
  <si>
    <t>13 Feb 2025</t>
  </si>
  <si>
    <t>09 Jan 2025</t>
  </si>
  <si>
    <t>24 Apr 2025</t>
  </si>
  <si>
    <t>27 Feb 2025</t>
  </si>
  <si>
    <t>07 Apr 2025</t>
  </si>
  <si>
    <t>09 Mar 2025</t>
  </si>
  <si>
    <t>26 Mar 2025</t>
  </si>
  <si>
    <t>23 Feb 2025</t>
  </si>
  <si>
    <t>31 Jan 2025</t>
  </si>
  <si>
    <t>20 Feb 2025</t>
  </si>
  <si>
    <t>18 Apr 2025</t>
  </si>
  <si>
    <t>15 Apr 2025</t>
  </si>
  <si>
    <t>20 Mar 2025</t>
  </si>
  <si>
    <t>Sum of Sale Price</t>
  </si>
  <si>
    <t>Sum of Purchase Price</t>
  </si>
  <si>
    <t>Sum of Profit</t>
  </si>
  <si>
    <t>Row Labels</t>
  </si>
  <si>
    <t>Grand Total</t>
  </si>
  <si>
    <t>Sum of Quantity</t>
  </si>
  <si>
    <t>Month</t>
  </si>
  <si>
    <t>Apr</t>
  </si>
  <si>
    <t>Mar</t>
  </si>
  <si>
    <t>Jan</t>
  </si>
  <si>
    <t>Feb</t>
  </si>
  <si>
    <t>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</si>
</sst>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 mmmm\ yyyy"/>
    <numFmt numFmtId="165" formatCode="dd\ mmm\ yyyy"/>
  </numFmts>
  <fonts count="3" x14ac:knownFonts="1">
    <font>
      <sz val="11"/>
      <color theme="1"/>
      <name val="Calibri"/>
      <family val="2"/>
      <scheme val="minor"/>
    </font>
    <font>
      <b/>
      <sz val="11"/>
      <color theme="2"/>
      <name val="Calibri"/>
      <family val="2"/>
      <scheme val="minor"/>
    </font>
    <font>
      <b/>
      <sz val="11"/>
      <color theme="1"/>
      <name val="Calibri"/>
      <family val="2"/>
      <scheme val="minor"/>
    </font>
  </fonts>
  <fills count="5">
    <fill>
      <patternFill patternType="none"/>
    </fill>
    <fill>
      <patternFill patternType="gray125"/>
    </fill>
    <fill>
      <patternFill patternType="solid">
        <fgColor rgb="FFFF0000"/>
        <bgColor indexed="64"/>
      </patternFill>
    </fill>
    <fill>
      <patternFill patternType="solid">
        <fgColor theme="4" tint="0.79998168889431442"/>
        <bgColor theme="4" tint="0.79998168889431442"/>
      </patternFill>
    </fill>
    <fill>
      <patternFill patternType="solid">
        <fgColor rgb="FFFFFF00"/>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4">
    <xf numFmtId="0" fontId="0" fillId="0" borderId="0" xfId="0"/>
    <xf numFmtId="0" fontId="1" fillId="2" borderId="0" xfId="0" applyFont="1" applyFill="1"/>
    <xf numFmtId="164" fontId="1" fillId="2" borderId="0" xfId="0" applyNumberFormat="1" applyFont="1" applyFill="1"/>
    <xf numFmtId="164" fontId="0" fillId="0" borderId="0" xfId="0" applyNumberFormat="1"/>
    <xf numFmtId="165" fontId="0" fillId="0" borderId="0" xfId="0" applyNumberFormat="1"/>
    <xf numFmtId="0" fontId="0" fillId="0" borderId="0" xfId="0" applyNumberFormat="1"/>
    <xf numFmtId="0" fontId="2" fillId="3" borderId="1" xfId="0" applyFont="1" applyFill="1" applyBorder="1"/>
    <xf numFmtId="0" fontId="0" fillId="0" borderId="0" xfId="0" pivotButton="1"/>
    <xf numFmtId="0" fontId="0" fillId="0" borderId="0" xfId="0" applyAlignment="1">
      <alignment horizontal="left"/>
    </xf>
    <xf numFmtId="0" fontId="2" fillId="4" borderId="0" xfId="0" applyFont="1" applyFill="1"/>
    <xf numFmtId="0" fontId="0" fillId="0" borderId="0" xfId="0" applyNumberFormat="1" applyFill="1"/>
    <xf numFmtId="0" fontId="0" fillId="0" borderId="0" xfId="0" applyFill="1"/>
    <xf numFmtId="164" fontId="2" fillId="4" borderId="0" xfId="0" applyNumberFormat="1" applyFont="1" applyFill="1"/>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[Ecommerce_Sales_Data_135_Rows.xlsx]Pivot!TotalSale</c:name>
    <c:fmtId val="7"/>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noFill/>
          </a:ln>
          <a:effectLst/>
        </c:spPr>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noFill/>
          </a:ln>
          <a:effectLst/>
        </c:spPr>
      </c:pivotFmt>
      <c:pivotFmt>
        <c:idx val="5"/>
        <c:spPr>
          <a:solidFill>
            <a:schemeClr val="accent1"/>
          </a:solidFill>
          <a:ln w="19050">
            <a:noFill/>
          </a:ln>
          <a:effectLst/>
        </c:spPr>
      </c:pivotFmt>
      <c:pivotFmt>
        <c:idx val="6"/>
        <c:spPr>
          <a:solidFill>
            <a:schemeClr val="accent1"/>
          </a:solidFill>
          <a:ln w="19050">
            <a:noFill/>
          </a:ln>
          <a:effectLst/>
        </c:spPr>
      </c:pivotFmt>
      <c:pivotFmt>
        <c:idx val="7"/>
        <c:spPr>
          <a:solidFill>
            <a:schemeClr val="accent1"/>
          </a:solidFill>
          <a:ln w="19050">
            <a:noFill/>
          </a:ln>
          <a:effectLst/>
        </c:spPr>
      </c:pivotFmt>
      <c:pivotFmt>
        <c:idx val="8"/>
        <c:spPr>
          <a:solidFill>
            <a:schemeClr val="accent1"/>
          </a:solidFill>
          <a:ln w="19050">
            <a:noFill/>
          </a:ln>
          <a:effectLst/>
        </c:spPr>
      </c:pivotFmt>
    </c:pivotFmts>
    <c:plotArea>
      <c:layout/>
      <c:doughnutChart>
        <c:varyColors val="1"/>
        <c:ser>
          <c:idx val="0"/>
          <c:order val="0"/>
          <c:tx>
            <c:strRef>
              <c:f>Pivot!$B$3</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2B95-4CBE-83AA-7927CC02B011}"/>
              </c:ext>
            </c:extLst>
          </c:dPt>
          <c:dPt>
            <c:idx val="1"/>
            <c:bubble3D val="0"/>
            <c:spPr>
              <a:solidFill>
                <a:schemeClr val="accent2"/>
              </a:solidFill>
              <a:ln w="19050">
                <a:noFill/>
              </a:ln>
              <a:effectLst/>
            </c:spPr>
            <c:extLst>
              <c:ext xmlns:c16="http://schemas.microsoft.com/office/drawing/2014/chart" uri="{C3380CC4-5D6E-409C-BE32-E72D297353CC}">
                <c16:uniqueId val="{00000003-2B95-4CBE-83AA-7927CC02B011}"/>
              </c:ext>
            </c:extLst>
          </c:dPt>
          <c:dPt>
            <c:idx val="2"/>
            <c:bubble3D val="0"/>
            <c:spPr>
              <a:solidFill>
                <a:schemeClr val="accent3"/>
              </a:solidFill>
              <a:ln w="19050">
                <a:noFill/>
              </a:ln>
              <a:effectLst/>
            </c:spPr>
            <c:extLst>
              <c:ext xmlns:c16="http://schemas.microsoft.com/office/drawing/2014/chart" uri="{C3380CC4-5D6E-409C-BE32-E72D297353CC}">
                <c16:uniqueId val="{00000005-2B95-4CBE-83AA-7927CC02B011}"/>
              </c:ext>
            </c:extLst>
          </c:dPt>
          <c:dPt>
            <c:idx val="3"/>
            <c:bubble3D val="0"/>
            <c:spPr>
              <a:solidFill>
                <a:schemeClr val="accent4"/>
              </a:solidFill>
              <a:ln w="19050">
                <a:noFill/>
              </a:ln>
              <a:effectLst/>
            </c:spPr>
            <c:extLst>
              <c:ext xmlns:c16="http://schemas.microsoft.com/office/drawing/2014/chart" uri="{C3380CC4-5D6E-409C-BE32-E72D297353CC}">
                <c16:uniqueId val="{00000007-2B95-4CBE-83AA-7927CC02B011}"/>
              </c:ext>
            </c:extLst>
          </c:dPt>
          <c:dPt>
            <c:idx val="4"/>
            <c:bubble3D val="0"/>
            <c:spPr>
              <a:solidFill>
                <a:schemeClr val="accent5"/>
              </a:solidFill>
              <a:ln w="19050">
                <a:noFill/>
              </a:ln>
              <a:effectLst/>
            </c:spPr>
            <c:extLst>
              <c:ext xmlns:c16="http://schemas.microsoft.com/office/drawing/2014/chart" uri="{C3380CC4-5D6E-409C-BE32-E72D297353CC}">
                <c16:uniqueId val="{00000009-2B95-4CBE-83AA-7927CC02B011}"/>
              </c:ext>
            </c:extLst>
          </c:dPt>
          <c:dPt>
            <c:idx val="5"/>
            <c:bubble3D val="0"/>
            <c:spPr>
              <a:solidFill>
                <a:schemeClr val="accent6"/>
              </a:solidFill>
              <a:ln w="19050">
                <a:noFill/>
              </a:ln>
              <a:effectLst/>
            </c:spPr>
            <c:extLst>
              <c:ext xmlns:c16="http://schemas.microsoft.com/office/drawing/2014/chart" uri="{C3380CC4-5D6E-409C-BE32-E72D297353CC}">
                <c16:uniqueId val="{0000000B-2B95-4CBE-83AA-7927CC02B011}"/>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2B95-4CBE-83AA-7927CC02B011}"/>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2B95-4CBE-83AA-7927CC02B011}"/>
              </c:ext>
            </c:extLst>
          </c:dPt>
          <c:dLbls>
            <c:spPr>
              <a:noFill/>
              <a:ln>
                <a:noFill/>
              </a:ln>
              <a:effectLst/>
            </c:spPr>
            <c:txPr>
              <a:bodyPr rot="0" spcFirstLastPara="1" vertOverflow="clip" horzOverflow="clip" vert="horz" wrap="square" lIns="36576" tIns="18288" rIns="36576" bIns="18288"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Pivot!$A$4:$A$12</c:f>
              <c:strCache>
                <c:ptCount val="8"/>
                <c:pt idx="0">
                  <c:v>Bluetooth Headset</c:v>
                </c:pt>
                <c:pt idx="1">
                  <c:v>Cotton T-Shirt</c:v>
                </c:pt>
                <c:pt idx="2">
                  <c:v>Jeans</c:v>
                </c:pt>
                <c:pt idx="3">
                  <c:v>LED Table Lamp</c:v>
                </c:pt>
                <c:pt idx="4">
                  <c:v>Mobile Cover</c:v>
                </c:pt>
                <c:pt idx="5">
                  <c:v>Sports Shoes</c:v>
                </c:pt>
                <c:pt idx="6">
                  <c:v>Water Bottle</c:v>
                </c:pt>
                <c:pt idx="7">
                  <c:v>Wireless Mouse</c:v>
                </c:pt>
              </c:strCache>
            </c:strRef>
          </c:cat>
          <c:val>
            <c:numRef>
              <c:f>Pivot!$B$4:$B$12</c:f>
              <c:numCache>
                <c:formatCode>General</c:formatCode>
                <c:ptCount val="8"/>
                <c:pt idx="0">
                  <c:v>24869</c:v>
                </c:pt>
                <c:pt idx="1">
                  <c:v>14006</c:v>
                </c:pt>
                <c:pt idx="2">
                  <c:v>29266</c:v>
                </c:pt>
                <c:pt idx="3">
                  <c:v>21864</c:v>
                </c:pt>
                <c:pt idx="4">
                  <c:v>24293</c:v>
                </c:pt>
                <c:pt idx="5">
                  <c:v>40575</c:v>
                </c:pt>
                <c:pt idx="6">
                  <c:v>20727</c:v>
                </c:pt>
                <c:pt idx="7">
                  <c:v>29825</c:v>
                </c:pt>
              </c:numCache>
            </c:numRef>
          </c:val>
          <c:extLst>
            <c:ext xmlns:c16="http://schemas.microsoft.com/office/drawing/2014/chart" uri="{C3380CC4-5D6E-409C-BE32-E72D297353CC}">
              <c16:uniqueId val="{00000000-B8CF-43CD-9757-2B4E5FB3BDE5}"/>
            </c:ext>
          </c:extLst>
        </c:ser>
        <c:dLbls>
          <c:showLegendKey val="0"/>
          <c:showVal val="0"/>
          <c:showCatName val="0"/>
          <c:showSerName val="0"/>
          <c:showPercent val="0"/>
          <c:showBubbleSize val="0"/>
          <c:showLeaderLines val="0"/>
        </c:dLbls>
        <c:firstSliceAng val="0"/>
        <c:holeSize val="4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[Ecommerce_Sales_Data_135_Rows.xlsx]Pivot!Totalquantity</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DAD-420F-B6AB-2DEA63FBA2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AD-420F-B6AB-2DEA63FBA28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DAD-420F-B6AB-2DEA63FBA28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DAD-420F-B6AB-2DEA63FBA28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DAD-420F-B6AB-2DEA63FBA28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DAD-420F-B6AB-2DEA63FBA28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DAD-420F-B6AB-2DEA63FBA28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DAD-420F-B6AB-2DEA63FBA280}"/>
              </c:ext>
            </c:extLst>
          </c:dPt>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Pivot!$D$4:$D$12</c:f>
              <c:strCache>
                <c:ptCount val="8"/>
                <c:pt idx="0">
                  <c:v>Bluetooth Headset</c:v>
                </c:pt>
                <c:pt idx="1">
                  <c:v>Cotton T-Shirt</c:v>
                </c:pt>
                <c:pt idx="2">
                  <c:v>Jeans</c:v>
                </c:pt>
                <c:pt idx="3">
                  <c:v>LED Table Lamp</c:v>
                </c:pt>
                <c:pt idx="4">
                  <c:v>Mobile Cover</c:v>
                </c:pt>
                <c:pt idx="5">
                  <c:v>Sports Shoes</c:v>
                </c:pt>
                <c:pt idx="6">
                  <c:v>Water Bottle</c:v>
                </c:pt>
                <c:pt idx="7">
                  <c:v>Wireless Mouse</c:v>
                </c:pt>
              </c:strCache>
            </c:strRef>
          </c:cat>
          <c:val>
            <c:numRef>
              <c:f>Pivot!$E$4:$E$12</c:f>
              <c:numCache>
                <c:formatCode>General</c:formatCode>
                <c:ptCount val="8"/>
                <c:pt idx="0">
                  <c:v>58</c:v>
                </c:pt>
                <c:pt idx="1">
                  <c:v>29</c:v>
                </c:pt>
                <c:pt idx="2">
                  <c:v>48</c:v>
                </c:pt>
                <c:pt idx="3">
                  <c:v>62</c:v>
                </c:pt>
                <c:pt idx="4">
                  <c:v>48</c:v>
                </c:pt>
                <c:pt idx="5">
                  <c:v>111</c:v>
                </c:pt>
                <c:pt idx="6">
                  <c:v>55</c:v>
                </c:pt>
                <c:pt idx="7">
                  <c:v>66</c:v>
                </c:pt>
              </c:numCache>
            </c:numRef>
          </c:val>
          <c:extLst>
            <c:ext xmlns:c16="http://schemas.microsoft.com/office/drawing/2014/chart" uri="{C3380CC4-5D6E-409C-BE32-E72D297353CC}">
              <c16:uniqueId val="{00000000-A2FE-4CCC-8448-1F45DF921023}"/>
            </c:ext>
          </c:extLst>
        </c:ser>
        <c:dLbls>
          <c:showLegendKey val="0"/>
          <c:showVal val="1"/>
          <c:showCatName val="0"/>
          <c:showSerName val="0"/>
          <c:showPercent val="0"/>
          <c:showBubbleSize val="0"/>
          <c:showLeaderLines val="0"/>
        </c:dLbls>
        <c:firstSliceAng val="0"/>
        <c:holeSize val="4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[Ecommerce_Sales_Data_135_Rows.xlsx]Pivot!TotalPurchase</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A87-49C1-A265-C6FD7428DF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A87-49C1-A265-C6FD7428DF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A87-49C1-A265-C6FD7428DF8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A87-49C1-A265-C6FD7428DF8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A87-49C1-A265-C6FD7428DF8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A87-49C1-A265-C6FD7428DF8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A87-49C1-A265-C6FD7428DF8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A87-49C1-A265-C6FD7428DF8A}"/>
              </c:ext>
            </c:extLst>
          </c:dPt>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Pivot!$G$4:$G$12</c:f>
              <c:strCache>
                <c:ptCount val="8"/>
                <c:pt idx="0">
                  <c:v>Bluetooth Headset</c:v>
                </c:pt>
                <c:pt idx="1">
                  <c:v>Cotton T-Shirt</c:v>
                </c:pt>
                <c:pt idx="2">
                  <c:v>Jeans</c:v>
                </c:pt>
                <c:pt idx="3">
                  <c:v>LED Table Lamp</c:v>
                </c:pt>
                <c:pt idx="4">
                  <c:v>Mobile Cover</c:v>
                </c:pt>
                <c:pt idx="5">
                  <c:v>Sports Shoes</c:v>
                </c:pt>
                <c:pt idx="6">
                  <c:v>Water Bottle</c:v>
                </c:pt>
                <c:pt idx="7">
                  <c:v>Wireless Mouse</c:v>
                </c:pt>
              </c:strCache>
            </c:strRef>
          </c:cat>
          <c:val>
            <c:numRef>
              <c:f>Pivot!$H$4:$H$12</c:f>
              <c:numCache>
                <c:formatCode>General</c:formatCode>
                <c:ptCount val="8"/>
                <c:pt idx="0">
                  <c:v>16933</c:v>
                </c:pt>
                <c:pt idx="1">
                  <c:v>10296</c:v>
                </c:pt>
                <c:pt idx="2">
                  <c:v>23060</c:v>
                </c:pt>
                <c:pt idx="3">
                  <c:v>15063</c:v>
                </c:pt>
                <c:pt idx="4">
                  <c:v>17938</c:v>
                </c:pt>
                <c:pt idx="5">
                  <c:v>28146</c:v>
                </c:pt>
                <c:pt idx="6">
                  <c:v>13644</c:v>
                </c:pt>
                <c:pt idx="7">
                  <c:v>21200</c:v>
                </c:pt>
              </c:numCache>
            </c:numRef>
          </c:val>
          <c:extLst>
            <c:ext xmlns:c16="http://schemas.microsoft.com/office/drawing/2014/chart" uri="{C3380CC4-5D6E-409C-BE32-E72D297353CC}">
              <c16:uniqueId val="{00000000-1229-4221-AA1F-76A5A626F7FB}"/>
            </c:ext>
          </c:extLst>
        </c:ser>
        <c:dLbls>
          <c:showLegendKey val="0"/>
          <c:showVal val="1"/>
          <c:showCatName val="0"/>
          <c:showSerName val="0"/>
          <c:showPercent val="0"/>
          <c:showBubbleSize val="0"/>
          <c:showLeaderLines val="0"/>
        </c:dLbls>
        <c:firstSliceAng val="0"/>
        <c:holeSize val="4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[Ecommerce_Sales_Data_135_Rows.xlsx]Pivot!Totalprofit</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861-4080-A901-1C65F2DFD09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861-4080-A901-1C65F2DFD09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861-4080-A901-1C65F2DFD09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861-4080-A901-1C65F2DFD09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861-4080-A901-1C65F2DFD09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861-4080-A901-1C65F2DFD09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861-4080-A901-1C65F2DFD09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861-4080-A901-1C65F2DFD09D}"/>
              </c:ext>
            </c:extLst>
          </c:dPt>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Pivot!$J$4:$J$12</c:f>
              <c:strCache>
                <c:ptCount val="8"/>
                <c:pt idx="0">
                  <c:v>Bluetooth Headset</c:v>
                </c:pt>
                <c:pt idx="1">
                  <c:v>Cotton T-Shirt</c:v>
                </c:pt>
                <c:pt idx="2">
                  <c:v>Jeans</c:v>
                </c:pt>
                <c:pt idx="3">
                  <c:v>LED Table Lamp</c:v>
                </c:pt>
                <c:pt idx="4">
                  <c:v>Mobile Cover</c:v>
                </c:pt>
                <c:pt idx="5">
                  <c:v>Sports Shoes</c:v>
                </c:pt>
                <c:pt idx="6">
                  <c:v>Water Bottle</c:v>
                </c:pt>
                <c:pt idx="7">
                  <c:v>Wireless Mouse</c:v>
                </c:pt>
              </c:strCache>
            </c:strRef>
          </c:cat>
          <c:val>
            <c:numRef>
              <c:f>Pivot!$K$4:$K$12</c:f>
              <c:numCache>
                <c:formatCode>General</c:formatCode>
                <c:ptCount val="8"/>
                <c:pt idx="0">
                  <c:v>25864</c:v>
                </c:pt>
                <c:pt idx="1">
                  <c:v>11047</c:v>
                </c:pt>
                <c:pt idx="2">
                  <c:v>18158</c:v>
                </c:pt>
                <c:pt idx="3">
                  <c:v>24714</c:v>
                </c:pt>
                <c:pt idx="4">
                  <c:v>19416</c:v>
                </c:pt>
                <c:pt idx="5">
                  <c:v>52444</c:v>
                </c:pt>
                <c:pt idx="6">
                  <c:v>24663</c:v>
                </c:pt>
                <c:pt idx="7">
                  <c:v>29412</c:v>
                </c:pt>
              </c:numCache>
            </c:numRef>
          </c:val>
          <c:extLst>
            <c:ext xmlns:c16="http://schemas.microsoft.com/office/drawing/2014/chart" uri="{C3380CC4-5D6E-409C-BE32-E72D297353CC}">
              <c16:uniqueId val="{00000000-1205-43A5-A74A-13B8B983238E}"/>
            </c:ext>
          </c:extLst>
        </c:ser>
        <c:dLbls>
          <c:showLegendKey val="0"/>
          <c:showVal val="0"/>
          <c:showCatName val="0"/>
          <c:showSerName val="0"/>
          <c:showPercent val="0"/>
          <c:showBubbleSize val="0"/>
          <c:showLeaderLines val="0"/>
        </c:dLbls>
        <c:firstSliceAng val="0"/>
        <c:holeSize val="4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[Ecommerce_Sales_Data_135_Rows.xlsx]Pivot!PivotTable7</c:name>
    <c:fmtId val="9"/>
  </c:pivotSource>
  <c:chart>
    <c:title>
      <c:tx>
        <c:rich>
          <a:bodyPr rot="0" spcFirstLastPara="1" vertOverflow="ellipsis" vert="horz" wrap="square" anchor="ctr" anchorCtr="1"/>
          <a:lstStyle/>
          <a:p>
            <a:pPr>
              <a:defRPr sz="720" b="1" i="0" u="none" strike="noStrike" kern="1200" spc="0" baseline="0">
                <a:solidFill>
                  <a:schemeClr val="tx1"/>
                </a:solidFill>
                <a:latin typeface="+mn-lt"/>
                <a:ea typeface="+mn-ea"/>
                <a:cs typeface="+mn-cs"/>
              </a:defRPr>
            </a:pPr>
            <a:r>
              <a:rPr lang="en-US"/>
              <a:t>Month</a:t>
            </a:r>
            <a:r>
              <a:rPr lang="en-US" baseline="0"/>
              <a:t> wise Profit</a:t>
            </a:r>
            <a:endParaRPr lang="en-US"/>
          </a:p>
        </c:rich>
      </c:tx>
      <c:overlay val="0"/>
      <c:spPr>
        <a:noFill/>
        <a:ln>
          <a:noFill/>
        </a:ln>
        <a:effectLst/>
      </c:spPr>
      <c:txPr>
        <a:bodyPr rot="0" spcFirstLastPara="1" vertOverflow="ellipsis" vert="horz" wrap="square" anchor="ctr" anchorCtr="1"/>
        <a:lstStyle/>
        <a:p>
          <a:pPr>
            <a:defRPr sz="72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6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6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Pivot!$A$22:$A$27</c:f>
              <c:strCache>
                <c:ptCount val="5"/>
                <c:pt idx="0">
                  <c:v>Jan</c:v>
                </c:pt>
                <c:pt idx="1">
                  <c:v>Feb</c:v>
                </c:pt>
                <c:pt idx="2">
                  <c:v>Mar</c:v>
                </c:pt>
                <c:pt idx="3">
                  <c:v>Apr</c:v>
                </c:pt>
                <c:pt idx="4">
                  <c:v>May</c:v>
                </c:pt>
              </c:strCache>
            </c:strRef>
          </c:cat>
          <c:val>
            <c:numRef>
              <c:f>Pivot!$B$22:$B$27</c:f>
              <c:numCache>
                <c:formatCode>General</c:formatCode>
                <c:ptCount val="5"/>
                <c:pt idx="0">
                  <c:v>71018</c:v>
                </c:pt>
                <c:pt idx="1">
                  <c:v>37149</c:v>
                </c:pt>
                <c:pt idx="2">
                  <c:v>49844</c:v>
                </c:pt>
                <c:pt idx="3">
                  <c:v>44797</c:v>
                </c:pt>
                <c:pt idx="4">
                  <c:v>2910</c:v>
                </c:pt>
              </c:numCache>
            </c:numRef>
          </c:val>
          <c:extLst>
            <c:ext xmlns:c16="http://schemas.microsoft.com/office/drawing/2014/chart" uri="{C3380CC4-5D6E-409C-BE32-E72D297353CC}">
              <c16:uniqueId val="{00000000-21B7-41B9-8890-28B420F312BB}"/>
            </c:ext>
          </c:extLst>
        </c:ser>
        <c:dLbls>
          <c:dLblPos val="ctr"/>
          <c:showLegendKey val="0"/>
          <c:showVal val="1"/>
          <c:showCatName val="0"/>
          <c:showSerName val="0"/>
          <c:showPercent val="0"/>
          <c:showBubbleSize val="0"/>
        </c:dLbls>
        <c:gapWidth val="219"/>
        <c:overlap val="100"/>
        <c:axId val="168874944"/>
        <c:axId val="168875360"/>
      </c:barChart>
      <c:catAx>
        <c:axId val="1688749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chemeClr val="tx1"/>
                </a:solidFill>
                <a:latin typeface="+mn-lt"/>
                <a:ea typeface="+mn-ea"/>
                <a:cs typeface="+mn-cs"/>
              </a:defRPr>
            </a:pPr>
            <a:endParaRPr lang="en-US"/>
          </a:p>
        </c:txPr>
        <c:crossAx val="168875360"/>
        <c:crosses val="autoZero"/>
        <c:auto val="1"/>
        <c:lblAlgn val="ctr"/>
        <c:lblOffset val="100"/>
        <c:noMultiLvlLbl val="0"/>
      </c:catAx>
      <c:valAx>
        <c:axId val="168875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600" b="1" i="0" u="none" strike="noStrike" kern="1200" baseline="0">
                <a:solidFill>
                  <a:schemeClr val="tx1"/>
                </a:solidFill>
                <a:latin typeface="+mn-lt"/>
                <a:ea typeface="+mn-ea"/>
                <a:cs typeface="+mn-cs"/>
              </a:defRPr>
            </a:pPr>
            <a:endParaRPr lang="en-US"/>
          </a:p>
        </c:txPr>
        <c:crossAx val="168874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600"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[Ecommerce_Sales_Data_135_Rows.xlsx]Pivot!PivotTable8</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Pivot!$D$22:$D$30</c:f>
              <c:strCache>
                <c:ptCount val="8"/>
                <c:pt idx="0">
                  <c:v>Bluetooth Headset</c:v>
                </c:pt>
                <c:pt idx="1">
                  <c:v>Cotton T-Shirt</c:v>
                </c:pt>
                <c:pt idx="2">
                  <c:v>Jeans</c:v>
                </c:pt>
                <c:pt idx="3">
                  <c:v>LED Table Lamp</c:v>
                </c:pt>
                <c:pt idx="4">
                  <c:v>Mobile Cover</c:v>
                </c:pt>
                <c:pt idx="5">
                  <c:v>Sports Shoes</c:v>
                </c:pt>
                <c:pt idx="6">
                  <c:v>Water Bottle</c:v>
                </c:pt>
                <c:pt idx="7">
                  <c:v>Wireless Mouse</c:v>
                </c:pt>
              </c:strCache>
            </c:strRef>
          </c:cat>
          <c:val>
            <c:numRef>
              <c:f>Pivot!$E$22:$E$30</c:f>
              <c:numCache>
                <c:formatCode>General</c:formatCode>
                <c:ptCount val="8"/>
                <c:pt idx="0">
                  <c:v>25864</c:v>
                </c:pt>
                <c:pt idx="1">
                  <c:v>11047</c:v>
                </c:pt>
                <c:pt idx="2">
                  <c:v>18158</c:v>
                </c:pt>
                <c:pt idx="3">
                  <c:v>24714</c:v>
                </c:pt>
                <c:pt idx="4">
                  <c:v>19416</c:v>
                </c:pt>
                <c:pt idx="5">
                  <c:v>52444</c:v>
                </c:pt>
                <c:pt idx="6">
                  <c:v>24663</c:v>
                </c:pt>
                <c:pt idx="7">
                  <c:v>29412</c:v>
                </c:pt>
              </c:numCache>
            </c:numRef>
          </c:val>
          <c:extLst>
            <c:ext xmlns:c16="http://schemas.microsoft.com/office/drawing/2014/chart" uri="{C3380CC4-5D6E-409C-BE32-E72D297353CC}">
              <c16:uniqueId val="{00000000-4A4F-4A14-9146-86AC04213327}"/>
            </c:ext>
          </c:extLst>
        </c:ser>
        <c:dLbls>
          <c:dLblPos val="ctr"/>
          <c:showLegendKey val="0"/>
          <c:showVal val="1"/>
          <c:showCatName val="0"/>
          <c:showSerName val="0"/>
          <c:showPercent val="0"/>
          <c:showBubbleSize val="0"/>
        </c:dLbls>
        <c:gapWidth val="219"/>
        <c:overlap val="-27"/>
        <c:axId val="190160560"/>
        <c:axId val="190164720"/>
      </c:barChart>
      <c:catAx>
        <c:axId val="19016056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164720"/>
        <c:crosses val="autoZero"/>
        <c:auto val="1"/>
        <c:lblAlgn val="ctr"/>
        <c:lblOffset val="100"/>
        <c:noMultiLvlLbl val="0"/>
      </c:catAx>
      <c:valAx>
        <c:axId val="190164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160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[Ecommerce_Sales_Data_135_Rows.xlsx]Pivot!TotalSale</c:name>
    <c:fmtId val="12"/>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noFill/>
          </a:ln>
          <a:effectLst/>
        </c:spPr>
      </c:pivotFmt>
      <c:pivotFmt>
        <c:idx val="5"/>
        <c:spPr>
          <a:solidFill>
            <a:schemeClr val="accent1"/>
          </a:solidFill>
          <a:ln w="19050">
            <a:noFill/>
          </a:ln>
          <a:effectLst/>
        </c:spPr>
      </c:pivotFmt>
      <c:pivotFmt>
        <c:idx val="6"/>
        <c:spPr>
          <a:solidFill>
            <a:schemeClr val="accent1"/>
          </a:solidFill>
          <a:ln w="19050">
            <a:noFill/>
          </a:ln>
          <a:effectLst/>
        </c:spPr>
      </c:pivotFmt>
      <c:pivotFmt>
        <c:idx val="7"/>
        <c:spPr>
          <a:solidFill>
            <a:schemeClr val="accent1"/>
          </a:solidFill>
          <a:ln w="19050">
            <a:noFill/>
          </a:ln>
          <a:effectLst/>
        </c:spPr>
      </c:pivotFmt>
      <c:pivotFmt>
        <c:idx val="8"/>
        <c:spPr>
          <a:solidFill>
            <a:schemeClr val="accent1"/>
          </a:solidFill>
          <a:ln w="19050">
            <a:noFill/>
          </a:ln>
          <a:effectLst/>
        </c:spPr>
      </c:pivotFmt>
      <c:pivotFmt>
        <c:idx val="9"/>
        <c:spPr>
          <a:solidFill>
            <a:schemeClr val="accent1"/>
          </a:solidFill>
          <a:ln w="19050">
            <a:noFill/>
          </a:ln>
          <a:effectLst/>
        </c:spPr>
      </c:pivotFmt>
      <c:pivotFmt>
        <c:idx val="10"/>
        <c:spPr>
          <a:solidFill>
            <a:schemeClr val="accent4">
              <a:lumMod val="75000"/>
            </a:schemeClr>
          </a:solidFill>
          <a:ln w="19050">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solidFill>
          <a:ln w="19050">
            <a:noFill/>
          </a:ln>
          <a:effectLst/>
        </c:spPr>
      </c:pivotFmt>
      <c:pivotFmt>
        <c:idx val="12"/>
        <c:spPr>
          <a:solidFill>
            <a:schemeClr val="accent2">
              <a:lumMod val="40000"/>
              <a:lumOff val="60000"/>
            </a:schemeClr>
          </a:solidFill>
          <a:ln w="19050">
            <a:noFill/>
          </a:ln>
          <a:effectLst/>
        </c:spPr>
      </c:pivotFmt>
      <c:pivotFmt>
        <c:idx val="13"/>
        <c:spPr>
          <a:solidFill>
            <a:schemeClr val="accent3">
              <a:lumMod val="75000"/>
            </a:schemeClr>
          </a:solidFill>
          <a:ln w="19050">
            <a:noFill/>
          </a:ln>
          <a:effectLst/>
        </c:spPr>
      </c:pivotFmt>
      <c:pivotFmt>
        <c:idx val="14"/>
        <c:spPr>
          <a:solidFill>
            <a:schemeClr val="accent5">
              <a:lumMod val="50000"/>
            </a:schemeClr>
          </a:solidFill>
          <a:ln w="19050">
            <a:noFill/>
          </a:ln>
          <a:effectLst/>
        </c:spPr>
      </c:pivotFmt>
      <c:pivotFmt>
        <c:idx val="15"/>
        <c:spPr>
          <a:solidFill>
            <a:schemeClr val="accent6">
              <a:lumMod val="50000"/>
            </a:schemeClr>
          </a:solidFill>
          <a:ln w="19050">
            <a:noFill/>
          </a:ln>
          <a:effectLst/>
        </c:spPr>
      </c:pivotFmt>
      <c:pivotFmt>
        <c:idx val="16"/>
        <c:spPr>
          <a:solidFill>
            <a:schemeClr val="accent4">
              <a:lumMod val="75000"/>
            </a:schemeClr>
          </a:solidFill>
          <a:ln w="19050">
            <a:noFill/>
          </a:ln>
          <a:effectLst/>
        </c:spPr>
      </c:pivotFmt>
      <c:pivotFmt>
        <c:idx val="17"/>
        <c:spPr>
          <a:solidFill>
            <a:schemeClr val="accent1"/>
          </a:solidFill>
          <a:ln w="19050">
            <a:noFill/>
          </a:ln>
          <a:effectLst/>
        </c:spPr>
      </c:pivotFmt>
      <c:pivotFmt>
        <c:idx val="18"/>
        <c:spPr>
          <a:solidFill>
            <a:schemeClr val="tx1">
              <a:lumMod val="65000"/>
              <a:lumOff val="35000"/>
            </a:schemeClr>
          </a:solidFill>
          <a:ln w="19050">
            <a:noFill/>
          </a:ln>
          <a:effectLst/>
        </c:spPr>
      </c:pivotFmt>
    </c:pivotFmts>
    <c:plotArea>
      <c:layout/>
      <c:doughnutChart>
        <c:varyColors val="1"/>
        <c:ser>
          <c:idx val="0"/>
          <c:order val="0"/>
          <c:tx>
            <c:strRef>
              <c:f>Pivot!$B$3</c:f>
              <c:strCache>
                <c:ptCount val="1"/>
                <c:pt idx="0">
                  <c:v>Total</c:v>
                </c:pt>
              </c:strCache>
            </c:strRef>
          </c:tx>
          <c:spPr>
            <a:solidFill>
              <a:schemeClr val="accent4">
                <a:lumMod val="75000"/>
              </a:schemeClr>
            </a:solidFill>
            <a:ln>
              <a:noFill/>
            </a:ln>
          </c:spPr>
          <c:dPt>
            <c:idx val="0"/>
            <c:bubble3D val="0"/>
            <c:spPr>
              <a:solidFill>
                <a:schemeClr val="accent6"/>
              </a:solidFill>
              <a:ln w="19050">
                <a:noFill/>
              </a:ln>
              <a:effectLst/>
            </c:spPr>
            <c:extLst>
              <c:ext xmlns:c16="http://schemas.microsoft.com/office/drawing/2014/chart" uri="{C3380CC4-5D6E-409C-BE32-E72D297353CC}">
                <c16:uniqueId val="{00000001-F494-419E-8F94-390FC8639E0F}"/>
              </c:ext>
            </c:extLst>
          </c:dPt>
          <c:dPt>
            <c:idx val="1"/>
            <c:bubble3D val="0"/>
            <c:spPr>
              <a:solidFill>
                <a:schemeClr val="accent2">
                  <a:lumMod val="40000"/>
                  <a:lumOff val="60000"/>
                </a:schemeClr>
              </a:solidFill>
              <a:ln w="19050">
                <a:noFill/>
              </a:ln>
              <a:effectLst/>
            </c:spPr>
            <c:extLst>
              <c:ext xmlns:c16="http://schemas.microsoft.com/office/drawing/2014/chart" uri="{C3380CC4-5D6E-409C-BE32-E72D297353CC}">
                <c16:uniqueId val="{00000003-F494-419E-8F94-390FC8639E0F}"/>
              </c:ext>
            </c:extLst>
          </c:dPt>
          <c:dPt>
            <c:idx val="2"/>
            <c:bubble3D val="0"/>
            <c:spPr>
              <a:solidFill>
                <a:schemeClr val="accent3">
                  <a:lumMod val="75000"/>
                </a:schemeClr>
              </a:solidFill>
              <a:ln w="19050">
                <a:noFill/>
              </a:ln>
              <a:effectLst/>
            </c:spPr>
            <c:extLst>
              <c:ext xmlns:c16="http://schemas.microsoft.com/office/drawing/2014/chart" uri="{C3380CC4-5D6E-409C-BE32-E72D297353CC}">
                <c16:uniqueId val="{00000005-F494-419E-8F94-390FC8639E0F}"/>
              </c:ext>
            </c:extLst>
          </c:dPt>
          <c:dPt>
            <c:idx val="3"/>
            <c:bubble3D val="0"/>
            <c:spPr>
              <a:solidFill>
                <a:schemeClr val="accent5">
                  <a:lumMod val="50000"/>
                </a:schemeClr>
              </a:solidFill>
              <a:ln w="19050">
                <a:noFill/>
              </a:ln>
              <a:effectLst/>
            </c:spPr>
            <c:extLst>
              <c:ext xmlns:c16="http://schemas.microsoft.com/office/drawing/2014/chart" uri="{C3380CC4-5D6E-409C-BE32-E72D297353CC}">
                <c16:uniqueId val="{00000007-F494-419E-8F94-390FC8639E0F}"/>
              </c:ext>
            </c:extLst>
          </c:dPt>
          <c:dPt>
            <c:idx val="4"/>
            <c:bubble3D val="0"/>
            <c:spPr>
              <a:solidFill>
                <a:schemeClr val="accent6">
                  <a:lumMod val="50000"/>
                </a:schemeClr>
              </a:solidFill>
              <a:ln w="19050">
                <a:noFill/>
              </a:ln>
              <a:effectLst/>
            </c:spPr>
            <c:extLst>
              <c:ext xmlns:c16="http://schemas.microsoft.com/office/drawing/2014/chart" uri="{C3380CC4-5D6E-409C-BE32-E72D297353CC}">
                <c16:uniqueId val="{00000009-F494-419E-8F94-390FC8639E0F}"/>
              </c:ext>
            </c:extLst>
          </c:dPt>
          <c:dPt>
            <c:idx val="5"/>
            <c:bubble3D val="0"/>
            <c:spPr>
              <a:solidFill>
                <a:schemeClr val="accent4">
                  <a:lumMod val="75000"/>
                </a:schemeClr>
              </a:solidFill>
              <a:ln w="19050">
                <a:noFill/>
              </a:ln>
              <a:effectLst/>
            </c:spPr>
            <c:extLst>
              <c:ext xmlns:c16="http://schemas.microsoft.com/office/drawing/2014/chart" uri="{C3380CC4-5D6E-409C-BE32-E72D297353CC}">
                <c16:uniqueId val="{0000000B-F494-419E-8F94-390FC8639E0F}"/>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F494-419E-8F94-390FC8639E0F}"/>
              </c:ext>
            </c:extLst>
          </c:dPt>
          <c:dPt>
            <c:idx val="7"/>
            <c:bubble3D val="0"/>
            <c:spPr>
              <a:solidFill>
                <a:schemeClr val="tx1">
                  <a:lumMod val="65000"/>
                  <a:lumOff val="35000"/>
                </a:schemeClr>
              </a:solidFill>
              <a:ln w="19050">
                <a:noFill/>
              </a:ln>
              <a:effectLst/>
            </c:spPr>
            <c:extLst>
              <c:ext xmlns:c16="http://schemas.microsoft.com/office/drawing/2014/chart" uri="{C3380CC4-5D6E-409C-BE32-E72D297353CC}">
                <c16:uniqueId val="{0000000F-F494-419E-8F94-390FC8639E0F}"/>
              </c:ext>
            </c:extLst>
          </c:dPt>
          <c:dLbls>
            <c:spPr>
              <a:noFill/>
              <a:ln>
                <a:noFill/>
              </a:ln>
              <a:effectLst/>
            </c:spPr>
            <c:txPr>
              <a:bodyPr rot="0" spcFirstLastPara="1" vertOverflow="clip" horzOverflow="clip" vert="horz" wrap="square" lIns="36576" tIns="18288" rIns="36576" bIns="18288"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Pivot!$A$4:$A$12</c:f>
              <c:strCache>
                <c:ptCount val="8"/>
                <c:pt idx="0">
                  <c:v>Bluetooth Headset</c:v>
                </c:pt>
                <c:pt idx="1">
                  <c:v>Cotton T-Shirt</c:v>
                </c:pt>
                <c:pt idx="2">
                  <c:v>Jeans</c:v>
                </c:pt>
                <c:pt idx="3">
                  <c:v>LED Table Lamp</c:v>
                </c:pt>
                <c:pt idx="4">
                  <c:v>Mobile Cover</c:v>
                </c:pt>
                <c:pt idx="5">
                  <c:v>Sports Shoes</c:v>
                </c:pt>
                <c:pt idx="6">
                  <c:v>Water Bottle</c:v>
                </c:pt>
                <c:pt idx="7">
                  <c:v>Wireless Mouse</c:v>
                </c:pt>
              </c:strCache>
            </c:strRef>
          </c:cat>
          <c:val>
            <c:numRef>
              <c:f>Pivot!$B$4:$B$12</c:f>
              <c:numCache>
                <c:formatCode>General</c:formatCode>
                <c:ptCount val="8"/>
                <c:pt idx="0">
                  <c:v>24869</c:v>
                </c:pt>
                <c:pt idx="1">
                  <c:v>14006</c:v>
                </c:pt>
                <c:pt idx="2">
                  <c:v>29266</c:v>
                </c:pt>
                <c:pt idx="3">
                  <c:v>21864</c:v>
                </c:pt>
                <c:pt idx="4">
                  <c:v>24293</c:v>
                </c:pt>
                <c:pt idx="5">
                  <c:v>40575</c:v>
                </c:pt>
                <c:pt idx="6">
                  <c:v>20727</c:v>
                </c:pt>
                <c:pt idx="7">
                  <c:v>29825</c:v>
                </c:pt>
              </c:numCache>
            </c:numRef>
          </c:val>
          <c:extLst>
            <c:ext xmlns:c16="http://schemas.microsoft.com/office/drawing/2014/chart" uri="{C3380CC4-5D6E-409C-BE32-E72D297353CC}">
              <c16:uniqueId val="{00000010-F494-419E-8F94-390FC8639E0F}"/>
            </c:ext>
          </c:extLst>
        </c:ser>
        <c:dLbls>
          <c:showLegendKey val="0"/>
          <c:showVal val="0"/>
          <c:showCatName val="0"/>
          <c:showSerName val="0"/>
          <c:showPercent val="0"/>
          <c:showBubbleSize val="0"/>
          <c:showLeaderLines val="0"/>
        </c:dLbls>
        <c:firstSliceAng val="0"/>
        <c:holeSize val="4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[Ecommerce_Sales_Data_135_Rows.xlsx]Pivot!Totalquantity</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6"/>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6"/>
          </a:solidFill>
          <a:ln w="19050">
            <a:noFill/>
          </a:ln>
          <a:effectLst/>
        </c:spPr>
      </c:pivotFmt>
      <c:pivotFmt>
        <c:idx val="12"/>
        <c:spPr>
          <a:solidFill>
            <a:schemeClr val="accent2">
              <a:lumMod val="40000"/>
              <a:lumOff val="60000"/>
            </a:schemeClr>
          </a:solidFill>
          <a:ln w="19050">
            <a:noFill/>
          </a:ln>
          <a:effectLst/>
        </c:spPr>
      </c:pivotFmt>
      <c:pivotFmt>
        <c:idx val="13"/>
        <c:spPr>
          <a:solidFill>
            <a:schemeClr val="accent3">
              <a:lumMod val="75000"/>
            </a:schemeClr>
          </a:solidFill>
          <a:ln w="19050">
            <a:noFill/>
          </a:ln>
          <a:effectLst/>
        </c:spPr>
      </c:pivotFmt>
      <c:pivotFmt>
        <c:idx val="14"/>
        <c:spPr>
          <a:solidFill>
            <a:schemeClr val="accent5">
              <a:lumMod val="50000"/>
            </a:schemeClr>
          </a:solidFill>
          <a:ln w="19050">
            <a:noFill/>
          </a:ln>
          <a:effectLst/>
        </c:spPr>
      </c:pivotFmt>
      <c:pivotFmt>
        <c:idx val="15"/>
        <c:spPr>
          <a:solidFill>
            <a:schemeClr val="accent6">
              <a:lumMod val="50000"/>
            </a:schemeClr>
          </a:solidFill>
          <a:ln w="19050">
            <a:noFill/>
          </a:ln>
          <a:effectLst/>
        </c:spPr>
      </c:pivotFmt>
      <c:pivotFmt>
        <c:idx val="16"/>
        <c:spPr>
          <a:solidFill>
            <a:schemeClr val="accent4">
              <a:lumMod val="75000"/>
            </a:schemeClr>
          </a:solidFill>
          <a:ln w="19050">
            <a:noFill/>
          </a:ln>
          <a:effectLst/>
        </c:spPr>
      </c:pivotFmt>
      <c:pivotFmt>
        <c:idx val="17"/>
        <c:spPr>
          <a:solidFill>
            <a:schemeClr val="accent1"/>
          </a:solidFill>
          <a:ln w="19050">
            <a:noFill/>
          </a:ln>
          <a:effectLst/>
        </c:spPr>
      </c:pivotFmt>
      <c:pivotFmt>
        <c:idx val="18"/>
        <c:spPr>
          <a:solidFill>
            <a:schemeClr val="tx1">
              <a:lumMod val="65000"/>
              <a:lumOff val="35000"/>
            </a:schemeClr>
          </a:solidFill>
          <a:ln w="19050">
            <a:noFill/>
          </a:ln>
          <a:effectLst/>
        </c:spPr>
      </c:pivotFmt>
    </c:pivotFmts>
    <c:plotArea>
      <c:layout/>
      <c:doughnutChart>
        <c:varyColors val="1"/>
        <c:ser>
          <c:idx val="0"/>
          <c:order val="0"/>
          <c:tx>
            <c:strRef>
              <c:f>Pivot!$E$3</c:f>
              <c:strCache>
                <c:ptCount val="1"/>
                <c:pt idx="0">
                  <c:v>Total</c:v>
                </c:pt>
              </c:strCache>
            </c:strRef>
          </c:tx>
          <c:spPr>
            <a:solidFill>
              <a:schemeClr val="accent6"/>
            </a:solidFill>
            <a:ln>
              <a:noFill/>
            </a:ln>
          </c:spPr>
          <c:dPt>
            <c:idx val="0"/>
            <c:bubble3D val="0"/>
            <c:spPr>
              <a:solidFill>
                <a:schemeClr val="accent6"/>
              </a:solidFill>
              <a:ln w="19050">
                <a:noFill/>
              </a:ln>
              <a:effectLst/>
            </c:spPr>
            <c:extLst>
              <c:ext xmlns:c16="http://schemas.microsoft.com/office/drawing/2014/chart" uri="{C3380CC4-5D6E-409C-BE32-E72D297353CC}">
                <c16:uniqueId val="{00000001-B16A-4B70-BECD-EC765E1F18ED}"/>
              </c:ext>
            </c:extLst>
          </c:dPt>
          <c:dPt>
            <c:idx val="1"/>
            <c:bubble3D val="0"/>
            <c:spPr>
              <a:solidFill>
                <a:schemeClr val="accent2">
                  <a:lumMod val="40000"/>
                  <a:lumOff val="60000"/>
                </a:schemeClr>
              </a:solidFill>
              <a:ln w="19050">
                <a:noFill/>
              </a:ln>
              <a:effectLst/>
            </c:spPr>
            <c:extLst>
              <c:ext xmlns:c16="http://schemas.microsoft.com/office/drawing/2014/chart" uri="{C3380CC4-5D6E-409C-BE32-E72D297353CC}">
                <c16:uniqueId val="{00000003-B16A-4B70-BECD-EC765E1F18ED}"/>
              </c:ext>
            </c:extLst>
          </c:dPt>
          <c:dPt>
            <c:idx val="2"/>
            <c:bubble3D val="0"/>
            <c:spPr>
              <a:solidFill>
                <a:schemeClr val="accent3">
                  <a:lumMod val="75000"/>
                </a:schemeClr>
              </a:solidFill>
              <a:ln w="19050">
                <a:noFill/>
              </a:ln>
              <a:effectLst/>
            </c:spPr>
            <c:extLst>
              <c:ext xmlns:c16="http://schemas.microsoft.com/office/drawing/2014/chart" uri="{C3380CC4-5D6E-409C-BE32-E72D297353CC}">
                <c16:uniqueId val="{00000005-B16A-4B70-BECD-EC765E1F18ED}"/>
              </c:ext>
            </c:extLst>
          </c:dPt>
          <c:dPt>
            <c:idx val="3"/>
            <c:bubble3D val="0"/>
            <c:spPr>
              <a:solidFill>
                <a:schemeClr val="accent5">
                  <a:lumMod val="50000"/>
                </a:schemeClr>
              </a:solidFill>
              <a:ln w="19050">
                <a:noFill/>
              </a:ln>
              <a:effectLst/>
            </c:spPr>
            <c:extLst>
              <c:ext xmlns:c16="http://schemas.microsoft.com/office/drawing/2014/chart" uri="{C3380CC4-5D6E-409C-BE32-E72D297353CC}">
                <c16:uniqueId val="{00000007-B16A-4B70-BECD-EC765E1F18ED}"/>
              </c:ext>
            </c:extLst>
          </c:dPt>
          <c:dPt>
            <c:idx val="4"/>
            <c:bubble3D val="0"/>
            <c:spPr>
              <a:solidFill>
                <a:schemeClr val="accent6">
                  <a:lumMod val="50000"/>
                </a:schemeClr>
              </a:solidFill>
              <a:ln w="19050">
                <a:noFill/>
              </a:ln>
              <a:effectLst/>
            </c:spPr>
            <c:extLst>
              <c:ext xmlns:c16="http://schemas.microsoft.com/office/drawing/2014/chart" uri="{C3380CC4-5D6E-409C-BE32-E72D297353CC}">
                <c16:uniqueId val="{00000009-B16A-4B70-BECD-EC765E1F18ED}"/>
              </c:ext>
            </c:extLst>
          </c:dPt>
          <c:dPt>
            <c:idx val="5"/>
            <c:bubble3D val="0"/>
            <c:spPr>
              <a:solidFill>
                <a:schemeClr val="accent4">
                  <a:lumMod val="75000"/>
                </a:schemeClr>
              </a:solidFill>
              <a:ln w="19050">
                <a:noFill/>
              </a:ln>
              <a:effectLst/>
            </c:spPr>
            <c:extLst>
              <c:ext xmlns:c16="http://schemas.microsoft.com/office/drawing/2014/chart" uri="{C3380CC4-5D6E-409C-BE32-E72D297353CC}">
                <c16:uniqueId val="{0000000B-B16A-4B70-BECD-EC765E1F18ED}"/>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B16A-4B70-BECD-EC765E1F18ED}"/>
              </c:ext>
            </c:extLst>
          </c:dPt>
          <c:dPt>
            <c:idx val="7"/>
            <c:bubble3D val="0"/>
            <c:spPr>
              <a:solidFill>
                <a:schemeClr val="tx1">
                  <a:lumMod val="65000"/>
                  <a:lumOff val="35000"/>
                </a:schemeClr>
              </a:solidFill>
              <a:ln w="19050">
                <a:noFill/>
              </a:ln>
              <a:effectLst/>
            </c:spPr>
            <c:extLst>
              <c:ext xmlns:c16="http://schemas.microsoft.com/office/drawing/2014/chart" uri="{C3380CC4-5D6E-409C-BE32-E72D297353CC}">
                <c16:uniqueId val="{0000000F-B16A-4B70-BECD-EC765E1F18ED}"/>
              </c:ext>
            </c:extLst>
          </c:dPt>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Pivot!$D$4:$D$12</c:f>
              <c:strCache>
                <c:ptCount val="8"/>
                <c:pt idx="0">
                  <c:v>Bluetooth Headset</c:v>
                </c:pt>
                <c:pt idx="1">
                  <c:v>Cotton T-Shirt</c:v>
                </c:pt>
                <c:pt idx="2">
                  <c:v>Jeans</c:v>
                </c:pt>
                <c:pt idx="3">
                  <c:v>LED Table Lamp</c:v>
                </c:pt>
                <c:pt idx="4">
                  <c:v>Mobile Cover</c:v>
                </c:pt>
                <c:pt idx="5">
                  <c:v>Sports Shoes</c:v>
                </c:pt>
                <c:pt idx="6">
                  <c:v>Water Bottle</c:v>
                </c:pt>
                <c:pt idx="7">
                  <c:v>Wireless Mouse</c:v>
                </c:pt>
              </c:strCache>
            </c:strRef>
          </c:cat>
          <c:val>
            <c:numRef>
              <c:f>Pivot!$E$4:$E$12</c:f>
              <c:numCache>
                <c:formatCode>General</c:formatCode>
                <c:ptCount val="8"/>
                <c:pt idx="0">
                  <c:v>58</c:v>
                </c:pt>
                <c:pt idx="1">
                  <c:v>29</c:v>
                </c:pt>
                <c:pt idx="2">
                  <c:v>48</c:v>
                </c:pt>
                <c:pt idx="3">
                  <c:v>62</c:v>
                </c:pt>
                <c:pt idx="4">
                  <c:v>48</c:v>
                </c:pt>
                <c:pt idx="5">
                  <c:v>111</c:v>
                </c:pt>
                <c:pt idx="6">
                  <c:v>55</c:v>
                </c:pt>
                <c:pt idx="7">
                  <c:v>66</c:v>
                </c:pt>
              </c:numCache>
            </c:numRef>
          </c:val>
          <c:extLst>
            <c:ext xmlns:c16="http://schemas.microsoft.com/office/drawing/2014/chart" uri="{C3380CC4-5D6E-409C-BE32-E72D297353CC}">
              <c16:uniqueId val="{00000010-B16A-4B70-BECD-EC765E1F18ED}"/>
            </c:ext>
          </c:extLst>
        </c:ser>
        <c:dLbls>
          <c:showLegendKey val="0"/>
          <c:showVal val="1"/>
          <c:showCatName val="0"/>
          <c:showSerName val="0"/>
          <c:showPercent val="0"/>
          <c:showBubbleSize val="0"/>
          <c:showLeaderLines val="0"/>
        </c:dLbls>
        <c:firstSliceAng val="0"/>
        <c:holeSize val="4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[Ecommerce_Sales_Data_135_Rows.xlsx]Pivot!TotalPurchase</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6"/>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6"/>
          </a:solidFill>
          <a:ln w="19050">
            <a:noFill/>
          </a:ln>
          <a:effectLst/>
        </c:spPr>
      </c:pivotFmt>
      <c:pivotFmt>
        <c:idx val="12"/>
        <c:spPr>
          <a:solidFill>
            <a:schemeClr val="accent2">
              <a:lumMod val="40000"/>
              <a:lumOff val="60000"/>
            </a:schemeClr>
          </a:solidFill>
          <a:ln w="19050">
            <a:noFill/>
          </a:ln>
          <a:effectLst/>
        </c:spPr>
      </c:pivotFmt>
      <c:pivotFmt>
        <c:idx val="13"/>
        <c:spPr>
          <a:solidFill>
            <a:schemeClr val="accent3">
              <a:lumMod val="75000"/>
            </a:schemeClr>
          </a:solidFill>
          <a:ln w="19050">
            <a:noFill/>
          </a:ln>
          <a:effectLst/>
        </c:spPr>
      </c:pivotFmt>
      <c:pivotFmt>
        <c:idx val="14"/>
        <c:spPr>
          <a:solidFill>
            <a:schemeClr val="accent5">
              <a:lumMod val="50000"/>
            </a:schemeClr>
          </a:solidFill>
          <a:ln w="19050">
            <a:noFill/>
          </a:ln>
          <a:effectLst/>
        </c:spPr>
      </c:pivotFmt>
      <c:pivotFmt>
        <c:idx val="15"/>
        <c:spPr>
          <a:solidFill>
            <a:schemeClr val="accent6">
              <a:lumMod val="50000"/>
            </a:schemeClr>
          </a:solidFill>
          <a:ln w="19050">
            <a:noFill/>
          </a:ln>
          <a:effectLst/>
        </c:spPr>
      </c:pivotFmt>
      <c:pivotFmt>
        <c:idx val="16"/>
        <c:spPr>
          <a:solidFill>
            <a:schemeClr val="accent4">
              <a:lumMod val="75000"/>
            </a:schemeClr>
          </a:solidFill>
          <a:ln w="19050">
            <a:noFill/>
          </a:ln>
          <a:effectLst/>
        </c:spPr>
      </c:pivotFmt>
      <c:pivotFmt>
        <c:idx val="17"/>
        <c:spPr>
          <a:solidFill>
            <a:schemeClr val="accent1"/>
          </a:solidFill>
          <a:ln w="19050">
            <a:noFill/>
          </a:ln>
          <a:effectLst/>
        </c:spPr>
      </c:pivotFmt>
      <c:pivotFmt>
        <c:idx val="18"/>
        <c:spPr>
          <a:solidFill>
            <a:schemeClr val="tx1">
              <a:lumMod val="65000"/>
              <a:lumOff val="35000"/>
            </a:schemeClr>
          </a:solidFill>
          <a:ln w="19050">
            <a:noFill/>
          </a:ln>
          <a:effectLst/>
        </c:spPr>
      </c:pivotFmt>
    </c:pivotFmts>
    <c:plotArea>
      <c:layout/>
      <c:doughnutChart>
        <c:varyColors val="1"/>
        <c:ser>
          <c:idx val="0"/>
          <c:order val="0"/>
          <c:tx>
            <c:strRef>
              <c:f>Pivot!$H$3</c:f>
              <c:strCache>
                <c:ptCount val="1"/>
                <c:pt idx="0">
                  <c:v>Total</c:v>
                </c:pt>
              </c:strCache>
            </c:strRef>
          </c:tx>
          <c:spPr>
            <a:solidFill>
              <a:schemeClr val="accent6"/>
            </a:solidFill>
            <a:ln>
              <a:noFill/>
            </a:ln>
          </c:spPr>
          <c:dPt>
            <c:idx val="0"/>
            <c:bubble3D val="0"/>
            <c:spPr>
              <a:solidFill>
                <a:schemeClr val="accent6"/>
              </a:solidFill>
              <a:ln w="19050">
                <a:noFill/>
              </a:ln>
              <a:effectLst/>
            </c:spPr>
            <c:extLst>
              <c:ext xmlns:c16="http://schemas.microsoft.com/office/drawing/2014/chart" uri="{C3380CC4-5D6E-409C-BE32-E72D297353CC}">
                <c16:uniqueId val="{00000001-ACE7-46D5-B779-067533D13C4B}"/>
              </c:ext>
            </c:extLst>
          </c:dPt>
          <c:dPt>
            <c:idx val="1"/>
            <c:bubble3D val="0"/>
            <c:spPr>
              <a:solidFill>
                <a:schemeClr val="accent2">
                  <a:lumMod val="40000"/>
                  <a:lumOff val="60000"/>
                </a:schemeClr>
              </a:solidFill>
              <a:ln w="19050">
                <a:noFill/>
              </a:ln>
              <a:effectLst/>
            </c:spPr>
            <c:extLst>
              <c:ext xmlns:c16="http://schemas.microsoft.com/office/drawing/2014/chart" uri="{C3380CC4-5D6E-409C-BE32-E72D297353CC}">
                <c16:uniqueId val="{00000003-ACE7-46D5-B779-067533D13C4B}"/>
              </c:ext>
            </c:extLst>
          </c:dPt>
          <c:dPt>
            <c:idx val="2"/>
            <c:bubble3D val="0"/>
            <c:spPr>
              <a:solidFill>
                <a:schemeClr val="accent3">
                  <a:lumMod val="75000"/>
                </a:schemeClr>
              </a:solidFill>
              <a:ln w="19050">
                <a:noFill/>
              </a:ln>
              <a:effectLst/>
            </c:spPr>
            <c:extLst>
              <c:ext xmlns:c16="http://schemas.microsoft.com/office/drawing/2014/chart" uri="{C3380CC4-5D6E-409C-BE32-E72D297353CC}">
                <c16:uniqueId val="{00000005-ACE7-46D5-B779-067533D13C4B}"/>
              </c:ext>
            </c:extLst>
          </c:dPt>
          <c:dPt>
            <c:idx val="3"/>
            <c:bubble3D val="0"/>
            <c:spPr>
              <a:solidFill>
                <a:schemeClr val="accent5">
                  <a:lumMod val="50000"/>
                </a:schemeClr>
              </a:solidFill>
              <a:ln w="19050">
                <a:noFill/>
              </a:ln>
              <a:effectLst/>
            </c:spPr>
            <c:extLst>
              <c:ext xmlns:c16="http://schemas.microsoft.com/office/drawing/2014/chart" uri="{C3380CC4-5D6E-409C-BE32-E72D297353CC}">
                <c16:uniqueId val="{00000007-ACE7-46D5-B779-067533D13C4B}"/>
              </c:ext>
            </c:extLst>
          </c:dPt>
          <c:dPt>
            <c:idx val="4"/>
            <c:bubble3D val="0"/>
            <c:spPr>
              <a:solidFill>
                <a:schemeClr val="accent6">
                  <a:lumMod val="50000"/>
                </a:schemeClr>
              </a:solidFill>
              <a:ln w="19050">
                <a:noFill/>
              </a:ln>
              <a:effectLst/>
            </c:spPr>
            <c:extLst>
              <c:ext xmlns:c16="http://schemas.microsoft.com/office/drawing/2014/chart" uri="{C3380CC4-5D6E-409C-BE32-E72D297353CC}">
                <c16:uniqueId val="{00000009-ACE7-46D5-B779-067533D13C4B}"/>
              </c:ext>
            </c:extLst>
          </c:dPt>
          <c:dPt>
            <c:idx val="5"/>
            <c:bubble3D val="0"/>
            <c:spPr>
              <a:solidFill>
                <a:schemeClr val="accent4">
                  <a:lumMod val="75000"/>
                </a:schemeClr>
              </a:solidFill>
              <a:ln w="19050">
                <a:noFill/>
              </a:ln>
              <a:effectLst/>
            </c:spPr>
            <c:extLst>
              <c:ext xmlns:c16="http://schemas.microsoft.com/office/drawing/2014/chart" uri="{C3380CC4-5D6E-409C-BE32-E72D297353CC}">
                <c16:uniqueId val="{0000000B-ACE7-46D5-B779-067533D13C4B}"/>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ACE7-46D5-B779-067533D13C4B}"/>
              </c:ext>
            </c:extLst>
          </c:dPt>
          <c:dPt>
            <c:idx val="7"/>
            <c:bubble3D val="0"/>
            <c:spPr>
              <a:solidFill>
                <a:schemeClr val="tx1">
                  <a:lumMod val="65000"/>
                  <a:lumOff val="35000"/>
                </a:schemeClr>
              </a:solidFill>
              <a:ln w="19050">
                <a:noFill/>
              </a:ln>
              <a:effectLst/>
            </c:spPr>
            <c:extLst>
              <c:ext xmlns:c16="http://schemas.microsoft.com/office/drawing/2014/chart" uri="{C3380CC4-5D6E-409C-BE32-E72D297353CC}">
                <c16:uniqueId val="{0000000F-ACE7-46D5-B779-067533D13C4B}"/>
              </c:ext>
            </c:extLst>
          </c:dPt>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Pivot!$G$4:$G$12</c:f>
              <c:strCache>
                <c:ptCount val="8"/>
                <c:pt idx="0">
                  <c:v>Bluetooth Headset</c:v>
                </c:pt>
                <c:pt idx="1">
                  <c:v>Cotton T-Shirt</c:v>
                </c:pt>
                <c:pt idx="2">
                  <c:v>Jeans</c:v>
                </c:pt>
                <c:pt idx="3">
                  <c:v>LED Table Lamp</c:v>
                </c:pt>
                <c:pt idx="4">
                  <c:v>Mobile Cover</c:v>
                </c:pt>
                <c:pt idx="5">
                  <c:v>Sports Shoes</c:v>
                </c:pt>
                <c:pt idx="6">
                  <c:v>Water Bottle</c:v>
                </c:pt>
                <c:pt idx="7">
                  <c:v>Wireless Mouse</c:v>
                </c:pt>
              </c:strCache>
            </c:strRef>
          </c:cat>
          <c:val>
            <c:numRef>
              <c:f>Pivot!$H$4:$H$12</c:f>
              <c:numCache>
                <c:formatCode>General</c:formatCode>
                <c:ptCount val="8"/>
                <c:pt idx="0">
                  <c:v>16933</c:v>
                </c:pt>
                <c:pt idx="1">
                  <c:v>10296</c:v>
                </c:pt>
                <c:pt idx="2">
                  <c:v>23060</c:v>
                </c:pt>
                <c:pt idx="3">
                  <c:v>15063</c:v>
                </c:pt>
                <c:pt idx="4">
                  <c:v>17938</c:v>
                </c:pt>
                <c:pt idx="5">
                  <c:v>28146</c:v>
                </c:pt>
                <c:pt idx="6">
                  <c:v>13644</c:v>
                </c:pt>
                <c:pt idx="7">
                  <c:v>21200</c:v>
                </c:pt>
              </c:numCache>
            </c:numRef>
          </c:val>
          <c:extLst>
            <c:ext xmlns:c16="http://schemas.microsoft.com/office/drawing/2014/chart" uri="{C3380CC4-5D6E-409C-BE32-E72D297353CC}">
              <c16:uniqueId val="{00000010-ACE7-46D5-B779-067533D13C4B}"/>
            </c:ext>
          </c:extLst>
        </c:ser>
        <c:dLbls>
          <c:showLegendKey val="0"/>
          <c:showVal val="1"/>
          <c:showCatName val="0"/>
          <c:showSerName val="0"/>
          <c:showPercent val="0"/>
          <c:showBubbleSize val="0"/>
          <c:showLeaderLines val="0"/>
        </c:dLbls>
        <c:firstSliceAng val="0"/>
        <c:holeSize val="4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[Ecommerce_Sales_Data_135_Rows.xlsx]Pivot!Totalprofit</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6"/>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6"/>
          </a:solidFill>
          <a:ln w="19050">
            <a:noFill/>
          </a:ln>
          <a:effectLst/>
        </c:spPr>
      </c:pivotFmt>
      <c:pivotFmt>
        <c:idx val="12"/>
        <c:spPr>
          <a:solidFill>
            <a:schemeClr val="accent2">
              <a:lumMod val="40000"/>
              <a:lumOff val="60000"/>
            </a:schemeClr>
          </a:solidFill>
          <a:ln w="19050">
            <a:noFill/>
          </a:ln>
          <a:effectLst/>
        </c:spPr>
      </c:pivotFmt>
      <c:pivotFmt>
        <c:idx val="13"/>
        <c:spPr>
          <a:solidFill>
            <a:schemeClr val="accent3">
              <a:lumMod val="75000"/>
            </a:schemeClr>
          </a:solidFill>
          <a:ln w="19050">
            <a:noFill/>
          </a:ln>
          <a:effectLst/>
        </c:spPr>
      </c:pivotFmt>
      <c:pivotFmt>
        <c:idx val="14"/>
        <c:spPr>
          <a:solidFill>
            <a:schemeClr val="accent5">
              <a:lumMod val="50000"/>
            </a:schemeClr>
          </a:solidFill>
          <a:ln w="19050">
            <a:noFill/>
          </a:ln>
          <a:effectLst/>
        </c:spPr>
      </c:pivotFmt>
      <c:pivotFmt>
        <c:idx val="15"/>
        <c:spPr>
          <a:solidFill>
            <a:schemeClr val="accent6">
              <a:lumMod val="50000"/>
            </a:schemeClr>
          </a:solidFill>
          <a:ln w="19050">
            <a:noFill/>
          </a:ln>
          <a:effectLst/>
        </c:spPr>
      </c:pivotFmt>
      <c:pivotFmt>
        <c:idx val="16"/>
        <c:spPr>
          <a:solidFill>
            <a:schemeClr val="accent4">
              <a:lumMod val="75000"/>
            </a:schemeClr>
          </a:solidFill>
          <a:ln w="19050">
            <a:noFill/>
          </a:ln>
          <a:effectLst/>
        </c:spPr>
      </c:pivotFmt>
      <c:pivotFmt>
        <c:idx val="17"/>
        <c:spPr>
          <a:solidFill>
            <a:schemeClr val="accent1"/>
          </a:solidFill>
          <a:ln w="19050">
            <a:noFill/>
          </a:ln>
          <a:effectLst/>
        </c:spPr>
      </c:pivotFmt>
      <c:pivotFmt>
        <c:idx val="18"/>
        <c:spPr>
          <a:solidFill>
            <a:schemeClr val="tx1">
              <a:lumMod val="65000"/>
              <a:lumOff val="35000"/>
            </a:schemeClr>
          </a:solidFill>
          <a:ln w="19050">
            <a:noFill/>
          </a:ln>
          <a:effectLst/>
        </c:spPr>
      </c:pivotFmt>
    </c:pivotFmts>
    <c:plotArea>
      <c:layout>
        <c:manualLayout>
          <c:layoutTarget val="inner"/>
          <c:xMode val="edge"/>
          <c:yMode val="edge"/>
          <c:x val="0.15564768052884537"/>
          <c:y val="0.12474589435894767"/>
          <c:w val="0.74195367984931593"/>
          <c:h val="0.79965976787658732"/>
        </c:manualLayout>
      </c:layout>
      <c:doughnutChart>
        <c:varyColors val="1"/>
        <c:ser>
          <c:idx val="0"/>
          <c:order val="0"/>
          <c:tx>
            <c:strRef>
              <c:f>Pivot!$K$3</c:f>
              <c:strCache>
                <c:ptCount val="1"/>
                <c:pt idx="0">
                  <c:v>Total</c:v>
                </c:pt>
              </c:strCache>
            </c:strRef>
          </c:tx>
          <c:spPr>
            <a:solidFill>
              <a:schemeClr val="accent6"/>
            </a:solidFill>
            <a:ln>
              <a:noFill/>
            </a:ln>
          </c:spPr>
          <c:dPt>
            <c:idx val="0"/>
            <c:bubble3D val="0"/>
            <c:spPr>
              <a:solidFill>
                <a:schemeClr val="accent6"/>
              </a:solidFill>
              <a:ln w="19050">
                <a:noFill/>
              </a:ln>
              <a:effectLst/>
            </c:spPr>
            <c:extLst>
              <c:ext xmlns:c16="http://schemas.microsoft.com/office/drawing/2014/chart" uri="{C3380CC4-5D6E-409C-BE32-E72D297353CC}">
                <c16:uniqueId val="{00000001-3553-4E5A-B063-1F7FF7E22EDC}"/>
              </c:ext>
            </c:extLst>
          </c:dPt>
          <c:dPt>
            <c:idx val="1"/>
            <c:bubble3D val="0"/>
            <c:spPr>
              <a:solidFill>
                <a:schemeClr val="accent2">
                  <a:lumMod val="40000"/>
                  <a:lumOff val="60000"/>
                </a:schemeClr>
              </a:solidFill>
              <a:ln w="19050">
                <a:noFill/>
              </a:ln>
              <a:effectLst/>
            </c:spPr>
            <c:extLst>
              <c:ext xmlns:c16="http://schemas.microsoft.com/office/drawing/2014/chart" uri="{C3380CC4-5D6E-409C-BE32-E72D297353CC}">
                <c16:uniqueId val="{00000003-3553-4E5A-B063-1F7FF7E22EDC}"/>
              </c:ext>
            </c:extLst>
          </c:dPt>
          <c:dPt>
            <c:idx val="2"/>
            <c:bubble3D val="0"/>
            <c:spPr>
              <a:solidFill>
                <a:schemeClr val="accent3">
                  <a:lumMod val="75000"/>
                </a:schemeClr>
              </a:solidFill>
              <a:ln w="19050">
                <a:noFill/>
              </a:ln>
              <a:effectLst/>
            </c:spPr>
            <c:extLst>
              <c:ext xmlns:c16="http://schemas.microsoft.com/office/drawing/2014/chart" uri="{C3380CC4-5D6E-409C-BE32-E72D297353CC}">
                <c16:uniqueId val="{00000005-3553-4E5A-B063-1F7FF7E22EDC}"/>
              </c:ext>
            </c:extLst>
          </c:dPt>
          <c:dPt>
            <c:idx val="3"/>
            <c:bubble3D val="0"/>
            <c:spPr>
              <a:solidFill>
                <a:schemeClr val="accent5">
                  <a:lumMod val="50000"/>
                </a:schemeClr>
              </a:solidFill>
              <a:ln w="19050">
                <a:noFill/>
              </a:ln>
              <a:effectLst/>
            </c:spPr>
            <c:extLst>
              <c:ext xmlns:c16="http://schemas.microsoft.com/office/drawing/2014/chart" uri="{C3380CC4-5D6E-409C-BE32-E72D297353CC}">
                <c16:uniqueId val="{00000007-3553-4E5A-B063-1F7FF7E22EDC}"/>
              </c:ext>
            </c:extLst>
          </c:dPt>
          <c:dPt>
            <c:idx val="4"/>
            <c:bubble3D val="0"/>
            <c:spPr>
              <a:solidFill>
                <a:schemeClr val="accent6">
                  <a:lumMod val="50000"/>
                </a:schemeClr>
              </a:solidFill>
              <a:ln w="19050">
                <a:noFill/>
              </a:ln>
              <a:effectLst/>
            </c:spPr>
            <c:extLst>
              <c:ext xmlns:c16="http://schemas.microsoft.com/office/drawing/2014/chart" uri="{C3380CC4-5D6E-409C-BE32-E72D297353CC}">
                <c16:uniqueId val="{00000009-3553-4E5A-B063-1F7FF7E22EDC}"/>
              </c:ext>
            </c:extLst>
          </c:dPt>
          <c:dPt>
            <c:idx val="5"/>
            <c:bubble3D val="0"/>
            <c:spPr>
              <a:solidFill>
                <a:schemeClr val="accent4">
                  <a:lumMod val="75000"/>
                </a:schemeClr>
              </a:solidFill>
              <a:ln w="19050">
                <a:noFill/>
              </a:ln>
              <a:effectLst/>
            </c:spPr>
            <c:extLst>
              <c:ext xmlns:c16="http://schemas.microsoft.com/office/drawing/2014/chart" uri="{C3380CC4-5D6E-409C-BE32-E72D297353CC}">
                <c16:uniqueId val="{0000000B-3553-4E5A-B063-1F7FF7E22EDC}"/>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3553-4E5A-B063-1F7FF7E22EDC}"/>
              </c:ext>
            </c:extLst>
          </c:dPt>
          <c:dPt>
            <c:idx val="7"/>
            <c:bubble3D val="0"/>
            <c:spPr>
              <a:solidFill>
                <a:schemeClr val="tx1">
                  <a:lumMod val="65000"/>
                  <a:lumOff val="35000"/>
                </a:schemeClr>
              </a:solidFill>
              <a:ln w="19050">
                <a:noFill/>
              </a:ln>
              <a:effectLst/>
            </c:spPr>
            <c:extLst>
              <c:ext xmlns:c16="http://schemas.microsoft.com/office/drawing/2014/chart" uri="{C3380CC4-5D6E-409C-BE32-E72D297353CC}">
                <c16:uniqueId val="{0000000F-3553-4E5A-B063-1F7FF7E22EDC}"/>
              </c:ext>
            </c:extLst>
          </c:dPt>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Pivot!$J$4:$J$12</c:f>
              <c:strCache>
                <c:ptCount val="8"/>
                <c:pt idx="0">
                  <c:v>Bluetooth Headset</c:v>
                </c:pt>
                <c:pt idx="1">
                  <c:v>Cotton T-Shirt</c:v>
                </c:pt>
                <c:pt idx="2">
                  <c:v>Jeans</c:v>
                </c:pt>
                <c:pt idx="3">
                  <c:v>LED Table Lamp</c:v>
                </c:pt>
                <c:pt idx="4">
                  <c:v>Mobile Cover</c:v>
                </c:pt>
                <c:pt idx="5">
                  <c:v>Sports Shoes</c:v>
                </c:pt>
                <c:pt idx="6">
                  <c:v>Water Bottle</c:v>
                </c:pt>
                <c:pt idx="7">
                  <c:v>Wireless Mouse</c:v>
                </c:pt>
              </c:strCache>
            </c:strRef>
          </c:cat>
          <c:val>
            <c:numRef>
              <c:f>Pivot!$K$4:$K$12</c:f>
              <c:numCache>
                <c:formatCode>General</c:formatCode>
                <c:ptCount val="8"/>
                <c:pt idx="0">
                  <c:v>25864</c:v>
                </c:pt>
                <c:pt idx="1">
                  <c:v>11047</c:v>
                </c:pt>
                <c:pt idx="2">
                  <c:v>18158</c:v>
                </c:pt>
                <c:pt idx="3">
                  <c:v>24714</c:v>
                </c:pt>
                <c:pt idx="4">
                  <c:v>19416</c:v>
                </c:pt>
                <c:pt idx="5">
                  <c:v>52444</c:v>
                </c:pt>
                <c:pt idx="6">
                  <c:v>24663</c:v>
                </c:pt>
                <c:pt idx="7">
                  <c:v>29412</c:v>
                </c:pt>
              </c:numCache>
            </c:numRef>
          </c:val>
          <c:extLst>
            <c:ext xmlns:c16="http://schemas.microsoft.com/office/drawing/2014/chart" uri="{C3380CC4-5D6E-409C-BE32-E72D297353CC}">
              <c16:uniqueId val="{00000010-3553-4E5A-B063-1F7FF7E22EDC}"/>
            </c:ext>
          </c:extLst>
        </c:ser>
        <c:dLbls>
          <c:showLegendKey val="0"/>
          <c:showVal val="0"/>
          <c:showCatName val="0"/>
          <c:showSerName val="0"/>
          <c:showPercent val="0"/>
          <c:showBubbleSize val="0"/>
          <c:showLeaderLines val="0"/>
        </c:dLbls>
        <c:firstSliceAng val="0"/>
        <c:holeSize val="4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[Ecommerce_Sales_Data_135_Rows.xlsx]Pivot!PivotTable7</c:name>
    <c:fmtId val="11"/>
  </c:pivotSource>
  <c:chart>
    <c:title>
      <c:tx>
        <c:rich>
          <a:bodyPr rot="0" spcFirstLastPara="1" vertOverflow="ellipsis" vert="horz" wrap="square" anchor="ctr" anchorCtr="1"/>
          <a:lstStyle/>
          <a:p>
            <a:pPr>
              <a:defRPr sz="1100" b="1" i="0" u="none" strike="noStrike" kern="1200" spc="0" baseline="0">
                <a:solidFill>
                  <a:schemeClr val="bg1"/>
                </a:solidFill>
                <a:latin typeface="+mn-lt"/>
                <a:ea typeface="+mn-ea"/>
                <a:cs typeface="+mn-cs"/>
              </a:defRPr>
            </a:pPr>
            <a:r>
              <a:rPr lang="en-US" sz="1100"/>
              <a:t>Monthise</a:t>
            </a:r>
            <a:r>
              <a:rPr lang="en-US" sz="1100" baseline="0"/>
              <a:t> Profit</a:t>
            </a:r>
            <a:endParaRPr lang="en-US" sz="1100"/>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6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6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Pivot!$B$21</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anchor="ctr" anchorCtr="1"/>
              <a:lstStyle/>
              <a:p>
                <a:pPr>
                  <a:defRPr sz="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Pivot!$A$22:$A$27</c:f>
              <c:strCache>
                <c:ptCount val="5"/>
                <c:pt idx="0">
                  <c:v>Jan</c:v>
                </c:pt>
                <c:pt idx="1">
                  <c:v>Feb</c:v>
                </c:pt>
                <c:pt idx="2">
                  <c:v>Mar</c:v>
                </c:pt>
                <c:pt idx="3">
                  <c:v>Apr</c:v>
                </c:pt>
                <c:pt idx="4">
                  <c:v>May</c:v>
                </c:pt>
              </c:strCache>
            </c:strRef>
          </c:cat>
          <c:val>
            <c:numRef>
              <c:f>Pivot!$B$22:$B$27</c:f>
              <c:numCache>
                <c:formatCode>General</c:formatCode>
                <c:ptCount val="5"/>
                <c:pt idx="0">
                  <c:v>71018</c:v>
                </c:pt>
                <c:pt idx="1">
                  <c:v>37149</c:v>
                </c:pt>
                <c:pt idx="2">
                  <c:v>49844</c:v>
                </c:pt>
                <c:pt idx="3">
                  <c:v>44797</c:v>
                </c:pt>
                <c:pt idx="4">
                  <c:v>2910</c:v>
                </c:pt>
              </c:numCache>
            </c:numRef>
          </c:val>
          <c:extLst>
            <c:ext xmlns:c16="http://schemas.microsoft.com/office/drawing/2014/chart" uri="{C3380CC4-5D6E-409C-BE32-E72D297353CC}">
              <c16:uniqueId val="{00000000-022D-4422-8709-1E844A9BC235}"/>
            </c:ext>
          </c:extLst>
        </c:ser>
        <c:dLbls>
          <c:dLblPos val="ctr"/>
          <c:showLegendKey val="0"/>
          <c:showVal val="1"/>
          <c:showCatName val="0"/>
          <c:showSerName val="0"/>
          <c:showPercent val="0"/>
          <c:showBubbleSize val="0"/>
        </c:dLbls>
        <c:gapWidth val="219"/>
        <c:overlap val="100"/>
        <c:axId val="168874944"/>
        <c:axId val="168875360"/>
      </c:barChart>
      <c:catAx>
        <c:axId val="1688749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chemeClr val="bg1"/>
                </a:solidFill>
                <a:latin typeface="+mn-lt"/>
                <a:ea typeface="+mn-ea"/>
                <a:cs typeface="+mn-cs"/>
              </a:defRPr>
            </a:pPr>
            <a:endParaRPr lang="en-US"/>
          </a:p>
        </c:txPr>
        <c:crossAx val="168875360"/>
        <c:crosses val="autoZero"/>
        <c:auto val="1"/>
        <c:lblAlgn val="ctr"/>
        <c:lblOffset val="100"/>
        <c:noMultiLvlLbl val="0"/>
      </c:catAx>
      <c:valAx>
        <c:axId val="16887536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600" b="1" i="0" u="none" strike="noStrike" kern="1200" baseline="0">
                <a:solidFill>
                  <a:schemeClr val="bg1"/>
                </a:solidFill>
                <a:latin typeface="+mn-lt"/>
                <a:ea typeface="+mn-ea"/>
                <a:cs typeface="+mn-cs"/>
              </a:defRPr>
            </a:pPr>
            <a:endParaRPr lang="en-US"/>
          </a:p>
        </c:txPr>
        <c:crossAx val="168874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60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[Ecommerce_Sales_Data_135_Rows.xlsx]Pivot!PivotTable8</c:name>
    <c:fmtId val="1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Product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Pivot!$E$21</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Pivot!$D$22:$D$30</c:f>
              <c:strCache>
                <c:ptCount val="8"/>
                <c:pt idx="0">
                  <c:v>Bluetooth Headset</c:v>
                </c:pt>
                <c:pt idx="1">
                  <c:v>Cotton T-Shirt</c:v>
                </c:pt>
                <c:pt idx="2">
                  <c:v>Jeans</c:v>
                </c:pt>
                <c:pt idx="3">
                  <c:v>LED Table Lamp</c:v>
                </c:pt>
                <c:pt idx="4">
                  <c:v>Mobile Cover</c:v>
                </c:pt>
                <c:pt idx="5">
                  <c:v>Sports Shoes</c:v>
                </c:pt>
                <c:pt idx="6">
                  <c:v>Water Bottle</c:v>
                </c:pt>
                <c:pt idx="7">
                  <c:v>Wireless Mouse</c:v>
                </c:pt>
              </c:strCache>
            </c:strRef>
          </c:cat>
          <c:val>
            <c:numRef>
              <c:f>Pivot!$E$22:$E$30</c:f>
              <c:numCache>
                <c:formatCode>General</c:formatCode>
                <c:ptCount val="8"/>
                <c:pt idx="0">
                  <c:v>25864</c:v>
                </c:pt>
                <c:pt idx="1">
                  <c:v>11047</c:v>
                </c:pt>
                <c:pt idx="2">
                  <c:v>18158</c:v>
                </c:pt>
                <c:pt idx="3">
                  <c:v>24714</c:v>
                </c:pt>
                <c:pt idx="4">
                  <c:v>19416</c:v>
                </c:pt>
                <c:pt idx="5">
                  <c:v>52444</c:v>
                </c:pt>
                <c:pt idx="6">
                  <c:v>24663</c:v>
                </c:pt>
                <c:pt idx="7">
                  <c:v>29412</c:v>
                </c:pt>
              </c:numCache>
            </c:numRef>
          </c:val>
          <c:extLst>
            <c:ext xmlns:c16="http://schemas.microsoft.com/office/drawing/2014/chart" uri="{C3380CC4-5D6E-409C-BE32-E72D297353CC}">
              <c16:uniqueId val="{00000000-6E6D-4B98-8009-9CEF7221C325}"/>
            </c:ext>
          </c:extLst>
        </c:ser>
        <c:dLbls>
          <c:dLblPos val="ctr"/>
          <c:showLegendKey val="0"/>
          <c:showVal val="1"/>
          <c:showCatName val="0"/>
          <c:showSerName val="0"/>
          <c:showPercent val="0"/>
          <c:showBubbleSize val="0"/>
        </c:dLbls>
        <c:gapWidth val="219"/>
        <c:overlap val="-27"/>
        <c:axId val="190160560"/>
        <c:axId val="190164720"/>
      </c:barChart>
      <c:catAx>
        <c:axId val="19016056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0164720"/>
        <c:crosses val="autoZero"/>
        <c:auto val="1"/>
        <c:lblAlgn val="ctr"/>
        <c:lblOffset val="100"/>
        <c:noMultiLvlLbl val="0"/>
      </c:catAx>
      <c:valAx>
        <c:axId val="190164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0160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plotArea>
      <cx:plotAreaRegion>
        <cx:series layoutId="treemap" uniqueId="{FEBB8278-D95F-407E-877B-6790655EA81A}">
          <cx:tx>
            <cx:txData>
              <cx:f>_xlchart.v1.1</cx:f>
              <cx:v>Sum of Profit</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FEBB8278-D95F-407E-877B-6790655EA81A}">
          <cx:tx>
            <cx:txData>
              <cx:f>_xlchart.v1.4</cx:f>
              <cx:v>Sum of Profit</cx:v>
            </cx:txData>
          </cx:tx>
          <cx:spPr>
            <a:ln>
              <a:noFill/>
            </a:ln>
          </cx:spPr>
          <cx:dataPt idx="0">
            <cx:spPr>
              <a:solidFill>
                <a:srgbClr val="EEECE1">
                  <a:lumMod val="50000"/>
                </a:srgbClr>
              </a:solidFill>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microsoft.com/office/2014/relationships/chartEx" Target="../charts/chartEx2.xml"/><Relationship Id="rId13" Type="http://schemas.openxmlformats.org/officeDocument/2006/relationships/image" Target="../media/image4.png"/><Relationship Id="rId3" Type="http://schemas.openxmlformats.org/officeDocument/2006/relationships/chart" Target="../charts/chart8.xml"/><Relationship Id="rId7" Type="http://schemas.openxmlformats.org/officeDocument/2006/relationships/chart" Target="../charts/chart12.xml"/><Relationship Id="rId12" Type="http://schemas.openxmlformats.org/officeDocument/2006/relationships/hyperlink" Target="#Ecommerce_Data!A1"/><Relationship Id="rId2"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chart" Target="../charts/chart11.xml"/><Relationship Id="rId11" Type="http://schemas.openxmlformats.org/officeDocument/2006/relationships/image" Target="../media/image3.svg"/><Relationship Id="rId5" Type="http://schemas.openxmlformats.org/officeDocument/2006/relationships/chart" Target="../charts/chart10.xml"/><Relationship Id="rId10" Type="http://schemas.openxmlformats.org/officeDocument/2006/relationships/image" Target="../media/image2.png"/><Relationship Id="rId4" Type="http://schemas.openxmlformats.org/officeDocument/2006/relationships/chart" Target="../charts/chart9.xml"/><Relationship Id="rId9" Type="http://schemas.openxmlformats.org/officeDocument/2006/relationships/hyperlink" Target="#Pivot!A1"/><Relationship Id="rId14" Type="http://schemas.openxmlformats.org/officeDocument/2006/relationships/image" Target="../media/image5.svg"/></Relationships>
</file>

<file path=xl/drawings/drawing1.xml><?xml version="1.0" encoding="utf-8"?>
<xdr:wsDr xmlns:xdr="http://schemas.openxmlformats.org/drawingml/2006/spreadsheetDrawing" xmlns:a="http://schemas.openxmlformats.org/drawingml/2006/main">
  <xdr:twoCellAnchor editAs="oneCell">
    <xdr:from>
      <xdr:col>1</xdr:col>
      <xdr:colOff>276225</xdr:colOff>
      <xdr:row>6</xdr:row>
      <xdr:rowOff>95250</xdr:rowOff>
    </xdr:from>
    <xdr:to>
      <xdr:col>2</xdr:col>
      <xdr:colOff>971550</xdr:colOff>
      <xdr:row>12</xdr:row>
      <xdr:rowOff>180975</xdr:rowOff>
    </xdr:to>
    <mc:AlternateContent xmlns:mc="http://schemas.openxmlformats.org/markup-compatibility/2006" xmlns:a14="http://schemas.microsoft.com/office/drawing/2010/main">
      <mc:Choice Requires="a14">
        <xdr:graphicFrame macro="">
          <xdr:nvGraphicFramePr>
            <xdr:cNvPr id="2" name="Order ID">
              <a:extLst>
                <a:ext uri="{FF2B5EF4-FFF2-40B4-BE49-F238E27FC236}">
                  <a16:creationId xmlns:a16="http://schemas.microsoft.com/office/drawing/2014/main" id="{73388D0D-E199-4949-A36E-E8BAB81348E4}"/>
                </a:ext>
              </a:extLst>
            </xdr:cNvPr>
            <xdr:cNvGraphicFramePr/>
          </xdr:nvGraphicFramePr>
          <xdr:xfrm>
            <a:off x="0" y="0"/>
            <a:ext cx="0" cy="0"/>
          </xdr:xfrm>
          <a:graphic>
            <a:graphicData uri="http://schemas.microsoft.com/office/drawing/2010/slicer">
              <sle:slicer xmlns:sle="http://schemas.microsoft.com/office/drawing/2010/slicer" name="Order ID"/>
            </a:graphicData>
          </a:graphic>
        </xdr:graphicFrame>
      </mc:Choice>
      <mc:Fallback xmlns="">
        <xdr:sp macro="" textlink="">
          <xdr:nvSpPr>
            <xdr:cNvPr id="0" name=""/>
            <xdr:cNvSpPr>
              <a:spLocks noTextEdit="1"/>
            </xdr:cNvSpPr>
          </xdr:nvSpPr>
          <xdr:spPr>
            <a:xfrm>
              <a:off x="1152525" y="1238250"/>
              <a:ext cx="1533525" cy="1228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561975</xdr:colOff>
      <xdr:row>4</xdr:row>
      <xdr:rowOff>38100</xdr:rowOff>
    </xdr:from>
    <xdr:to>
      <xdr:col>1</xdr:col>
      <xdr:colOff>523875</xdr:colOff>
      <xdr:row>6</xdr:row>
      <xdr:rowOff>47625</xdr:rowOff>
    </xdr:to>
    <xdr:sp macro="" textlink="$A$2">
      <xdr:nvSpPr>
        <xdr:cNvPr id="3" name="Rectangle 2">
          <a:extLst>
            <a:ext uri="{FF2B5EF4-FFF2-40B4-BE49-F238E27FC236}">
              <a16:creationId xmlns:a16="http://schemas.microsoft.com/office/drawing/2014/main" id="{E22DB2E0-9216-4456-B472-179004335896}"/>
            </a:ext>
          </a:extLst>
        </xdr:cNvPr>
        <xdr:cNvSpPr/>
      </xdr:nvSpPr>
      <xdr:spPr>
        <a:xfrm>
          <a:off x="561975" y="800100"/>
          <a:ext cx="838200" cy="39052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101778F-027F-4605-B56B-7D0E72E526F6}" type="TxLink">
            <a:rPr lang="en-US" sz="1200" b="0" i="0" u="none" strike="noStrike">
              <a:solidFill>
                <a:srgbClr val="000000"/>
              </a:solidFill>
              <a:latin typeface="Calibri"/>
              <a:cs typeface="Calibri"/>
            </a:rPr>
            <a:pPr algn="ctr"/>
            <a:t>205425</a:t>
          </a:fld>
          <a:endParaRPr lang="en-US" sz="1200"/>
        </a:p>
      </xdr:txBody>
    </xdr:sp>
    <xdr:clientData/>
  </xdr:twoCellAnchor>
  <xdr:twoCellAnchor>
    <xdr:from>
      <xdr:col>6</xdr:col>
      <xdr:colOff>190500</xdr:colOff>
      <xdr:row>4</xdr:row>
      <xdr:rowOff>171450</xdr:rowOff>
    </xdr:from>
    <xdr:to>
      <xdr:col>6</xdr:col>
      <xdr:colOff>1009650</xdr:colOff>
      <xdr:row>6</xdr:row>
      <xdr:rowOff>180975</xdr:rowOff>
    </xdr:to>
    <xdr:sp macro="" textlink="$H$2">
      <xdr:nvSpPr>
        <xdr:cNvPr id="4" name="Rectangle 3">
          <a:extLst>
            <a:ext uri="{FF2B5EF4-FFF2-40B4-BE49-F238E27FC236}">
              <a16:creationId xmlns:a16="http://schemas.microsoft.com/office/drawing/2014/main" id="{DCD630EC-6A05-42C5-AA2C-4CD6F6A6E0D5}"/>
            </a:ext>
          </a:extLst>
        </xdr:cNvPr>
        <xdr:cNvSpPr/>
      </xdr:nvSpPr>
      <xdr:spPr>
        <a:xfrm>
          <a:off x="6048375" y="933450"/>
          <a:ext cx="819150" cy="39052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5B0E119-2E6A-4408-BCB8-1998C6512F7B}" type="TxLink">
            <a:rPr lang="en-US" sz="1100" b="0" i="0" u="none" strike="noStrike">
              <a:solidFill>
                <a:srgbClr val="000000"/>
              </a:solidFill>
              <a:latin typeface="Calibri"/>
              <a:cs typeface="Calibri"/>
            </a:rPr>
            <a:pPr algn="ctr"/>
            <a:t>146280</a:t>
          </a:fld>
          <a:endParaRPr lang="en-US" sz="1100"/>
        </a:p>
      </xdr:txBody>
    </xdr:sp>
    <xdr:clientData/>
  </xdr:twoCellAnchor>
  <xdr:twoCellAnchor>
    <xdr:from>
      <xdr:col>9</xdr:col>
      <xdr:colOff>476250</xdr:colOff>
      <xdr:row>0</xdr:row>
      <xdr:rowOff>95250</xdr:rowOff>
    </xdr:from>
    <xdr:to>
      <xdr:col>10</xdr:col>
      <xdr:colOff>123825</xdr:colOff>
      <xdr:row>2</xdr:row>
      <xdr:rowOff>104775</xdr:rowOff>
    </xdr:to>
    <xdr:sp macro="" textlink="$K$2">
      <xdr:nvSpPr>
        <xdr:cNvPr id="5" name="Rectangle 4">
          <a:extLst>
            <a:ext uri="{FF2B5EF4-FFF2-40B4-BE49-F238E27FC236}">
              <a16:creationId xmlns:a16="http://schemas.microsoft.com/office/drawing/2014/main" id="{4477A5AA-1449-4E55-8B55-C2CC8C426705}"/>
            </a:ext>
          </a:extLst>
        </xdr:cNvPr>
        <xdr:cNvSpPr/>
      </xdr:nvSpPr>
      <xdr:spPr>
        <a:xfrm>
          <a:off x="9934575" y="95250"/>
          <a:ext cx="838200" cy="39052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BAEF6E1-4BE2-4158-9F7B-FBBBBC758752}" type="TxLink">
            <a:rPr lang="en-US" sz="1100" b="0" i="0" u="none" strike="noStrike">
              <a:solidFill>
                <a:srgbClr val="000000"/>
              </a:solidFill>
              <a:latin typeface="Calibri"/>
              <a:cs typeface="Calibri"/>
            </a:rPr>
            <a:pPr algn="ctr"/>
            <a:t>205718</a:t>
          </a:fld>
          <a:endParaRPr lang="en-US" sz="1100"/>
        </a:p>
      </xdr:txBody>
    </xdr:sp>
    <xdr:clientData/>
  </xdr:twoCellAnchor>
  <xdr:twoCellAnchor>
    <xdr:from>
      <xdr:col>3</xdr:col>
      <xdr:colOff>342900</xdr:colOff>
      <xdr:row>3</xdr:row>
      <xdr:rowOff>38100</xdr:rowOff>
    </xdr:from>
    <xdr:to>
      <xdr:col>4</xdr:col>
      <xdr:colOff>333375</xdr:colOff>
      <xdr:row>5</xdr:row>
      <xdr:rowOff>47625</xdr:rowOff>
    </xdr:to>
    <xdr:sp macro="" textlink="$E$2">
      <xdr:nvSpPr>
        <xdr:cNvPr id="6" name="Rectangle 5">
          <a:extLst>
            <a:ext uri="{FF2B5EF4-FFF2-40B4-BE49-F238E27FC236}">
              <a16:creationId xmlns:a16="http://schemas.microsoft.com/office/drawing/2014/main" id="{D2C996D3-3844-4E93-9C0B-7E12C0AFD17F}"/>
            </a:ext>
          </a:extLst>
        </xdr:cNvPr>
        <xdr:cNvSpPr/>
      </xdr:nvSpPr>
      <xdr:spPr>
        <a:xfrm>
          <a:off x="3143250" y="609600"/>
          <a:ext cx="1181100" cy="39052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F510AA4-D05A-4400-89F6-8D802A705B7A}" type="TxLink">
            <a:rPr lang="en-US" sz="1100" b="0" i="0" u="none" strike="noStrike">
              <a:solidFill>
                <a:srgbClr val="000000"/>
              </a:solidFill>
              <a:latin typeface="Calibri"/>
              <a:cs typeface="Calibri"/>
            </a:rPr>
            <a:pPr algn="ctr"/>
            <a:t>477</a:t>
          </a:fld>
          <a:endParaRPr lang="en-US" sz="1100"/>
        </a:p>
      </xdr:txBody>
    </xdr:sp>
    <xdr:clientData/>
  </xdr:twoCellAnchor>
  <xdr:twoCellAnchor>
    <xdr:from>
      <xdr:col>0</xdr:col>
      <xdr:colOff>57151</xdr:colOff>
      <xdr:row>11</xdr:row>
      <xdr:rowOff>38099</xdr:rowOff>
    </xdr:from>
    <xdr:to>
      <xdr:col>1</xdr:col>
      <xdr:colOff>361950</xdr:colOff>
      <xdr:row>16</xdr:row>
      <xdr:rowOff>66675</xdr:rowOff>
    </xdr:to>
    <xdr:graphicFrame macro="">
      <xdr:nvGraphicFramePr>
        <xdr:cNvPr id="7" name="Chart 6">
          <a:extLst>
            <a:ext uri="{FF2B5EF4-FFF2-40B4-BE49-F238E27FC236}">
              <a16:creationId xmlns:a16="http://schemas.microsoft.com/office/drawing/2014/main" id="{F7C588C8-5AC9-4E42-9AE7-58C9F79EA2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190500</xdr:colOff>
      <xdr:row>11</xdr:row>
      <xdr:rowOff>9525</xdr:rowOff>
    </xdr:from>
    <xdr:to>
      <xdr:col>4</xdr:col>
      <xdr:colOff>457200</xdr:colOff>
      <xdr:row>16</xdr:row>
      <xdr:rowOff>128587</xdr:rowOff>
    </xdr:to>
    <xdr:graphicFrame macro="">
      <xdr:nvGraphicFramePr>
        <xdr:cNvPr id="8" name="Chart 7">
          <a:extLst>
            <a:ext uri="{FF2B5EF4-FFF2-40B4-BE49-F238E27FC236}">
              <a16:creationId xmlns:a16="http://schemas.microsoft.com/office/drawing/2014/main" id="{B36C5847-4870-4CDD-A1D6-95C3D76520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809625</xdr:colOff>
      <xdr:row>13</xdr:row>
      <xdr:rowOff>95250</xdr:rowOff>
    </xdr:from>
    <xdr:to>
      <xdr:col>7</xdr:col>
      <xdr:colOff>295275</xdr:colOff>
      <xdr:row>19</xdr:row>
      <xdr:rowOff>133350</xdr:rowOff>
    </xdr:to>
    <xdr:graphicFrame macro="">
      <xdr:nvGraphicFramePr>
        <xdr:cNvPr id="9" name="Chart 8">
          <a:extLst>
            <a:ext uri="{FF2B5EF4-FFF2-40B4-BE49-F238E27FC236}">
              <a16:creationId xmlns:a16="http://schemas.microsoft.com/office/drawing/2014/main" id="{2214389F-42F3-422C-9577-A8C65EB2AB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190499</xdr:colOff>
      <xdr:row>13</xdr:row>
      <xdr:rowOff>95249</xdr:rowOff>
    </xdr:from>
    <xdr:to>
      <xdr:col>10</xdr:col>
      <xdr:colOff>495299</xdr:colOff>
      <xdr:row>20</xdr:row>
      <xdr:rowOff>85725</xdr:rowOff>
    </xdr:to>
    <xdr:graphicFrame macro="">
      <xdr:nvGraphicFramePr>
        <xdr:cNvPr id="10" name="Chart 9">
          <a:extLst>
            <a:ext uri="{FF2B5EF4-FFF2-40B4-BE49-F238E27FC236}">
              <a16:creationId xmlns:a16="http://schemas.microsoft.com/office/drawing/2014/main" id="{C96EE053-C63A-48D6-9006-7E60B9A81B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161925</xdr:colOff>
      <xdr:row>26</xdr:row>
      <xdr:rowOff>85725</xdr:rowOff>
    </xdr:from>
    <xdr:to>
      <xdr:col>1</xdr:col>
      <xdr:colOff>762000</xdr:colOff>
      <xdr:row>32</xdr:row>
      <xdr:rowOff>4761</xdr:rowOff>
    </xdr:to>
    <xdr:graphicFrame macro="">
      <xdr:nvGraphicFramePr>
        <xdr:cNvPr id="15" name="Chart 14">
          <a:extLst>
            <a:ext uri="{FF2B5EF4-FFF2-40B4-BE49-F238E27FC236}">
              <a16:creationId xmlns:a16="http://schemas.microsoft.com/office/drawing/2014/main" id="{6E8098D4-6367-4F12-A5AD-60752E5F67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676275</xdr:colOff>
      <xdr:row>24</xdr:row>
      <xdr:rowOff>114300</xdr:rowOff>
    </xdr:from>
    <xdr:to>
      <xdr:col>5</xdr:col>
      <xdr:colOff>152400</xdr:colOff>
      <xdr:row>32</xdr:row>
      <xdr:rowOff>80961</xdr:rowOff>
    </xdr:to>
    <xdr:graphicFrame macro="">
      <xdr:nvGraphicFramePr>
        <xdr:cNvPr id="16" name="Chart 15">
          <a:extLst>
            <a:ext uri="{FF2B5EF4-FFF2-40B4-BE49-F238E27FC236}">
              <a16:creationId xmlns:a16="http://schemas.microsoft.com/office/drawing/2014/main" id="{1AD54589-FBF8-4DD8-BB59-E49C453E46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228600</xdr:colOff>
      <xdr:row>10</xdr:row>
      <xdr:rowOff>171450</xdr:rowOff>
    </xdr:from>
    <xdr:to>
      <xdr:col>15</xdr:col>
      <xdr:colOff>19050</xdr:colOff>
      <xdr:row>21</xdr:row>
      <xdr:rowOff>23812</xdr:rowOff>
    </xdr:to>
    <mc:AlternateContent xmlns:mc="http://schemas.openxmlformats.org/markup-compatibility/2006">
      <mc:Choice xmlns:cx1="http://schemas.microsoft.com/office/drawing/2015/9/8/chartex" Requires="cx1">
        <xdr:graphicFrame macro="">
          <xdr:nvGraphicFramePr>
            <xdr:cNvPr id="25" name="Chart 24">
              <a:extLst>
                <a:ext uri="{FF2B5EF4-FFF2-40B4-BE49-F238E27FC236}">
                  <a16:creationId xmlns:a16="http://schemas.microsoft.com/office/drawing/2014/main" id="{4C272952-84B5-475B-B123-D78AD426617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1715750" y="2076450"/>
              <a:ext cx="3457575" cy="194786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200026</xdr:colOff>
      <xdr:row>0</xdr:row>
      <xdr:rowOff>123824</xdr:rowOff>
    </xdr:from>
    <xdr:to>
      <xdr:col>17</xdr:col>
      <xdr:colOff>273708</xdr:colOff>
      <xdr:row>3</xdr:row>
      <xdr:rowOff>95249</xdr:rowOff>
    </xdr:to>
    <xdr:sp macro="" textlink="">
      <xdr:nvSpPr>
        <xdr:cNvPr id="2" name="Rectangle 1">
          <a:extLst>
            <a:ext uri="{FF2B5EF4-FFF2-40B4-BE49-F238E27FC236}">
              <a16:creationId xmlns:a16="http://schemas.microsoft.com/office/drawing/2014/main" id="{A98E099D-4EFE-45E9-9DA9-010ABA88F7C3}"/>
            </a:ext>
          </a:extLst>
        </xdr:cNvPr>
        <xdr:cNvSpPr/>
      </xdr:nvSpPr>
      <xdr:spPr>
        <a:xfrm>
          <a:off x="3265543" y="123824"/>
          <a:ext cx="7430924" cy="52978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3600" b="1"/>
            <a:t>Sales Dashboard (2025)</a:t>
          </a:r>
        </a:p>
      </xdr:txBody>
    </xdr:sp>
    <xdr:clientData/>
  </xdr:twoCellAnchor>
  <xdr:twoCellAnchor>
    <xdr:from>
      <xdr:col>0</xdr:col>
      <xdr:colOff>66675</xdr:colOff>
      <xdr:row>0</xdr:row>
      <xdr:rowOff>55418</xdr:rowOff>
    </xdr:from>
    <xdr:to>
      <xdr:col>5</xdr:col>
      <xdr:colOff>114300</xdr:colOff>
      <xdr:row>3</xdr:row>
      <xdr:rowOff>169718</xdr:rowOff>
    </xdr:to>
    <xdr:sp macro="" textlink="">
      <xdr:nvSpPr>
        <xdr:cNvPr id="3" name="Rectangle 2">
          <a:extLst>
            <a:ext uri="{FF2B5EF4-FFF2-40B4-BE49-F238E27FC236}">
              <a16:creationId xmlns:a16="http://schemas.microsoft.com/office/drawing/2014/main" id="{C754988A-6CA0-4F7A-97C4-9EFD916F61FF}"/>
            </a:ext>
          </a:extLst>
        </xdr:cNvPr>
        <xdr:cNvSpPr/>
      </xdr:nvSpPr>
      <xdr:spPr>
        <a:xfrm>
          <a:off x="66675" y="55418"/>
          <a:ext cx="3078307" cy="6858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800" b="1"/>
            <a:t>E-commerce</a:t>
          </a:r>
        </a:p>
      </xdr:txBody>
    </xdr:sp>
    <xdr:clientData/>
  </xdr:twoCellAnchor>
  <xdr:twoCellAnchor editAs="oneCell">
    <xdr:from>
      <xdr:col>3</xdr:col>
      <xdr:colOff>257176</xdr:colOff>
      <xdr:row>0</xdr:row>
      <xdr:rowOff>57774</xdr:rowOff>
    </xdr:from>
    <xdr:to>
      <xdr:col>5</xdr:col>
      <xdr:colOff>19050</xdr:colOff>
      <xdr:row>3</xdr:row>
      <xdr:rowOff>174538</xdr:rowOff>
    </xdr:to>
    <xdr:pic>
      <xdr:nvPicPr>
        <xdr:cNvPr id="5" name="Picture 4">
          <a:extLst>
            <a:ext uri="{FF2B5EF4-FFF2-40B4-BE49-F238E27FC236}">
              <a16:creationId xmlns:a16="http://schemas.microsoft.com/office/drawing/2014/main" id="{7A581DB6-3D39-48F3-AF69-54BA943615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85976" y="57774"/>
          <a:ext cx="981074" cy="688264"/>
        </a:xfrm>
        <a:prstGeom prst="rect">
          <a:avLst/>
        </a:prstGeom>
      </xdr:spPr>
    </xdr:pic>
    <xdr:clientData/>
  </xdr:twoCellAnchor>
  <xdr:twoCellAnchor>
    <xdr:from>
      <xdr:col>2</xdr:col>
      <xdr:colOff>524760</xdr:colOff>
      <xdr:row>4</xdr:row>
      <xdr:rowOff>33447</xdr:rowOff>
    </xdr:from>
    <xdr:to>
      <xdr:col>6</xdr:col>
      <xdr:colOff>248535</xdr:colOff>
      <xdr:row>8</xdr:row>
      <xdr:rowOff>109647</xdr:rowOff>
    </xdr:to>
    <xdr:sp macro="" textlink="">
      <xdr:nvSpPr>
        <xdr:cNvPr id="9" name="Rectangle 8">
          <a:extLst>
            <a:ext uri="{FF2B5EF4-FFF2-40B4-BE49-F238E27FC236}">
              <a16:creationId xmlns:a16="http://schemas.microsoft.com/office/drawing/2014/main" id="{789FAC8F-8875-4860-8D9A-DE8F4A851FC6}"/>
            </a:ext>
          </a:extLst>
        </xdr:cNvPr>
        <xdr:cNvSpPr/>
      </xdr:nvSpPr>
      <xdr:spPr>
        <a:xfrm>
          <a:off x="1743074" y="786587"/>
          <a:ext cx="2160403" cy="8293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Total Sales</a:t>
          </a:r>
        </a:p>
        <a:p>
          <a:pPr algn="l"/>
          <a:endParaRPr lang="en-US" sz="1600" b="1"/>
        </a:p>
      </xdr:txBody>
    </xdr:sp>
    <xdr:clientData/>
  </xdr:twoCellAnchor>
  <xdr:twoCellAnchor>
    <xdr:from>
      <xdr:col>6</xdr:col>
      <xdr:colOff>329607</xdr:colOff>
      <xdr:row>4</xdr:row>
      <xdr:rowOff>33447</xdr:rowOff>
    </xdr:from>
    <xdr:to>
      <xdr:col>10</xdr:col>
      <xdr:colOff>53382</xdr:colOff>
      <xdr:row>8</xdr:row>
      <xdr:rowOff>109647</xdr:rowOff>
    </xdr:to>
    <xdr:sp macro="" textlink="">
      <xdr:nvSpPr>
        <xdr:cNvPr id="11" name="Rectangle 10">
          <a:extLst>
            <a:ext uri="{FF2B5EF4-FFF2-40B4-BE49-F238E27FC236}">
              <a16:creationId xmlns:a16="http://schemas.microsoft.com/office/drawing/2014/main" id="{17251BB3-0604-4261-AF20-15C5ADEB2E44}"/>
            </a:ext>
          </a:extLst>
        </xdr:cNvPr>
        <xdr:cNvSpPr/>
      </xdr:nvSpPr>
      <xdr:spPr>
        <a:xfrm>
          <a:off x="3984549" y="786587"/>
          <a:ext cx="2160403" cy="8293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Total Quantity</a:t>
          </a:r>
        </a:p>
      </xdr:txBody>
    </xdr:sp>
    <xdr:clientData/>
  </xdr:twoCellAnchor>
  <xdr:twoCellAnchor>
    <xdr:from>
      <xdr:col>10</xdr:col>
      <xdr:colOff>134455</xdr:colOff>
      <xdr:row>4</xdr:row>
      <xdr:rowOff>31898</xdr:rowOff>
    </xdr:from>
    <xdr:to>
      <xdr:col>13</xdr:col>
      <xdr:colOff>467830</xdr:colOff>
      <xdr:row>8</xdr:row>
      <xdr:rowOff>108098</xdr:rowOff>
    </xdr:to>
    <xdr:sp macro="" textlink="">
      <xdr:nvSpPr>
        <xdr:cNvPr id="12" name="Rectangle 11">
          <a:extLst>
            <a:ext uri="{FF2B5EF4-FFF2-40B4-BE49-F238E27FC236}">
              <a16:creationId xmlns:a16="http://schemas.microsoft.com/office/drawing/2014/main" id="{7DFB46D9-2DBB-41F1-B436-EB82AE85496D}"/>
            </a:ext>
          </a:extLst>
        </xdr:cNvPr>
        <xdr:cNvSpPr/>
      </xdr:nvSpPr>
      <xdr:spPr>
        <a:xfrm>
          <a:off x="6226025" y="785038"/>
          <a:ext cx="2160846" cy="8293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Total Purchase</a:t>
          </a:r>
        </a:p>
      </xdr:txBody>
    </xdr:sp>
    <xdr:clientData/>
  </xdr:twoCellAnchor>
  <xdr:twoCellAnchor>
    <xdr:from>
      <xdr:col>2</xdr:col>
      <xdr:colOff>447675</xdr:colOff>
      <xdr:row>6</xdr:row>
      <xdr:rowOff>76200</xdr:rowOff>
    </xdr:from>
    <xdr:to>
      <xdr:col>4</xdr:col>
      <xdr:colOff>438149</xdr:colOff>
      <xdr:row>8</xdr:row>
      <xdr:rowOff>85725</xdr:rowOff>
    </xdr:to>
    <xdr:sp macro="" textlink="Pivot!$A$2">
      <xdr:nvSpPr>
        <xdr:cNvPr id="22" name="Rectangle 21">
          <a:extLst>
            <a:ext uri="{FF2B5EF4-FFF2-40B4-BE49-F238E27FC236}">
              <a16:creationId xmlns:a16="http://schemas.microsoft.com/office/drawing/2014/main" id="{4A3E2662-0936-4B25-88A2-999938F61E3D}"/>
            </a:ext>
          </a:extLst>
        </xdr:cNvPr>
        <xdr:cNvSpPr/>
      </xdr:nvSpPr>
      <xdr:spPr>
        <a:xfrm>
          <a:off x="1666875" y="1219200"/>
          <a:ext cx="1209674" cy="3905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6A23FA6-ED3D-477A-991E-C3E2D331C42B}" type="TxLink">
            <a:rPr lang="en-US" sz="1600" b="1" i="0" u="none" strike="noStrike">
              <a:solidFill>
                <a:schemeClr val="bg1"/>
              </a:solidFill>
              <a:latin typeface="Calibri"/>
              <a:cs typeface="Calibri"/>
            </a:rPr>
            <a:pPr algn="ctr"/>
            <a:t>205425</a:t>
          </a:fld>
          <a:endParaRPr lang="en-US" sz="1800" b="1">
            <a:solidFill>
              <a:schemeClr val="bg1"/>
            </a:solidFill>
          </a:endParaRPr>
        </a:p>
      </xdr:txBody>
    </xdr:sp>
    <xdr:clientData/>
  </xdr:twoCellAnchor>
  <xdr:twoCellAnchor>
    <xdr:from>
      <xdr:col>6</xdr:col>
      <xdr:colOff>457200</xdr:colOff>
      <xdr:row>6</xdr:row>
      <xdr:rowOff>104775</xdr:rowOff>
    </xdr:from>
    <xdr:to>
      <xdr:col>8</xdr:col>
      <xdr:colOff>419100</xdr:colOff>
      <xdr:row>8</xdr:row>
      <xdr:rowOff>114300</xdr:rowOff>
    </xdr:to>
    <xdr:sp macro="" textlink="Pivot!$E$2">
      <xdr:nvSpPr>
        <xdr:cNvPr id="23" name="Rectangle 22">
          <a:extLst>
            <a:ext uri="{FF2B5EF4-FFF2-40B4-BE49-F238E27FC236}">
              <a16:creationId xmlns:a16="http://schemas.microsoft.com/office/drawing/2014/main" id="{E97F16A6-0BD1-452D-975F-A6E54EE175A7}"/>
            </a:ext>
          </a:extLst>
        </xdr:cNvPr>
        <xdr:cNvSpPr/>
      </xdr:nvSpPr>
      <xdr:spPr>
        <a:xfrm>
          <a:off x="4114800" y="1247775"/>
          <a:ext cx="1181100" cy="3905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3323205-4B8A-4A83-97F7-8EBF52CB0F9D}" type="TxLink">
            <a:rPr lang="en-US" sz="1600" b="1" i="0" u="none" strike="noStrike">
              <a:solidFill>
                <a:schemeClr val="bg1"/>
              </a:solidFill>
              <a:latin typeface="Calibri"/>
              <a:cs typeface="Calibri"/>
            </a:rPr>
            <a:pPr algn="ctr"/>
            <a:t>477</a:t>
          </a:fld>
          <a:endParaRPr lang="en-US" sz="1600" b="1">
            <a:solidFill>
              <a:schemeClr val="bg1"/>
            </a:solidFill>
          </a:endParaRPr>
        </a:p>
      </xdr:txBody>
    </xdr:sp>
    <xdr:clientData/>
  </xdr:twoCellAnchor>
  <xdr:twoCellAnchor>
    <xdr:from>
      <xdr:col>10</xdr:col>
      <xdr:colOff>457200</xdr:colOff>
      <xdr:row>6</xdr:row>
      <xdr:rowOff>95250</xdr:rowOff>
    </xdr:from>
    <xdr:to>
      <xdr:col>12</xdr:col>
      <xdr:colOff>57150</xdr:colOff>
      <xdr:row>8</xdr:row>
      <xdr:rowOff>104775</xdr:rowOff>
    </xdr:to>
    <xdr:sp macro="" textlink="Pivot!$H$2">
      <xdr:nvSpPr>
        <xdr:cNvPr id="24" name="Rectangle 23">
          <a:extLst>
            <a:ext uri="{FF2B5EF4-FFF2-40B4-BE49-F238E27FC236}">
              <a16:creationId xmlns:a16="http://schemas.microsoft.com/office/drawing/2014/main" id="{54E4BC3A-9B25-42D8-B1FD-D9F774AA94A2}"/>
            </a:ext>
          </a:extLst>
        </xdr:cNvPr>
        <xdr:cNvSpPr/>
      </xdr:nvSpPr>
      <xdr:spPr>
        <a:xfrm>
          <a:off x="6553200" y="1238250"/>
          <a:ext cx="819150" cy="3905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BB05E7E-0A9F-4878-AB87-E59CC9597F89}" type="TxLink">
            <a:rPr lang="en-US" sz="1600" b="1" i="0" u="none" strike="noStrike">
              <a:solidFill>
                <a:schemeClr val="bg1"/>
              </a:solidFill>
              <a:latin typeface="Calibri"/>
              <a:cs typeface="Calibri"/>
            </a:rPr>
            <a:pPr algn="ctr"/>
            <a:t>146280</a:t>
          </a:fld>
          <a:endParaRPr lang="en-US" sz="1600" b="1">
            <a:solidFill>
              <a:schemeClr val="bg1"/>
            </a:solidFill>
          </a:endParaRPr>
        </a:p>
      </xdr:txBody>
    </xdr:sp>
    <xdr:clientData/>
  </xdr:twoCellAnchor>
  <xdr:twoCellAnchor>
    <xdr:from>
      <xdr:col>13</xdr:col>
      <xdr:colOff>554662</xdr:colOff>
      <xdr:row>4</xdr:row>
      <xdr:rowOff>27909</xdr:rowOff>
    </xdr:from>
    <xdr:to>
      <xdr:col>17</xdr:col>
      <xdr:colOff>278880</xdr:colOff>
      <xdr:row>8</xdr:row>
      <xdr:rowOff>104109</xdr:rowOff>
    </xdr:to>
    <xdr:sp macro="" textlink="">
      <xdr:nvSpPr>
        <xdr:cNvPr id="25" name="Rectangle 24">
          <a:extLst>
            <a:ext uri="{FF2B5EF4-FFF2-40B4-BE49-F238E27FC236}">
              <a16:creationId xmlns:a16="http://schemas.microsoft.com/office/drawing/2014/main" id="{031DB49C-F73C-4032-98B3-C407DD6F9DB9}"/>
            </a:ext>
          </a:extLst>
        </xdr:cNvPr>
        <xdr:cNvSpPr/>
      </xdr:nvSpPr>
      <xdr:spPr>
        <a:xfrm>
          <a:off x="8473703" y="781049"/>
          <a:ext cx="2160846" cy="82933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Total</a:t>
          </a:r>
          <a:r>
            <a:rPr lang="en-US" sz="1600" b="1" baseline="0"/>
            <a:t> Profit</a:t>
          </a:r>
          <a:endParaRPr lang="en-US" sz="1600" b="1"/>
        </a:p>
      </xdr:txBody>
    </xdr:sp>
    <xdr:clientData/>
  </xdr:twoCellAnchor>
  <xdr:twoCellAnchor>
    <xdr:from>
      <xdr:col>14</xdr:col>
      <xdr:colOff>571500</xdr:colOff>
      <xdr:row>6</xdr:row>
      <xdr:rowOff>114300</xdr:rowOff>
    </xdr:from>
    <xdr:to>
      <xdr:col>16</xdr:col>
      <xdr:colOff>323850</xdr:colOff>
      <xdr:row>8</xdr:row>
      <xdr:rowOff>38100</xdr:rowOff>
    </xdr:to>
    <xdr:sp macro="" textlink="Pivot!$N$2">
      <xdr:nvSpPr>
        <xdr:cNvPr id="26" name="Rectangle 25">
          <a:extLst>
            <a:ext uri="{FF2B5EF4-FFF2-40B4-BE49-F238E27FC236}">
              <a16:creationId xmlns:a16="http://schemas.microsoft.com/office/drawing/2014/main" id="{D93AF515-76B0-4B17-B2E4-D863A4BC33C2}"/>
            </a:ext>
          </a:extLst>
        </xdr:cNvPr>
        <xdr:cNvSpPr/>
      </xdr:nvSpPr>
      <xdr:spPr>
        <a:xfrm>
          <a:off x="9105900" y="1257300"/>
          <a:ext cx="971550" cy="3048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AE86BCB-990A-47AF-A4B1-B8BF0C1664B2}" type="TxLink">
            <a:rPr lang="en-US" sz="1600" b="1" i="0" u="none" strike="noStrike">
              <a:solidFill>
                <a:schemeClr val="bg1"/>
              </a:solidFill>
              <a:latin typeface="Calibri"/>
              <a:cs typeface="Calibri"/>
            </a:rPr>
            <a:pPr algn="ctr"/>
            <a:t> </a:t>
          </a:fld>
          <a:endParaRPr lang="en-US" sz="1600" b="1">
            <a:solidFill>
              <a:schemeClr val="bg1"/>
            </a:solidFill>
          </a:endParaRPr>
        </a:p>
      </xdr:txBody>
    </xdr:sp>
    <xdr:clientData/>
  </xdr:twoCellAnchor>
  <xdr:twoCellAnchor>
    <xdr:from>
      <xdr:col>14</xdr:col>
      <xdr:colOff>171450</xdr:colOff>
      <xdr:row>6</xdr:row>
      <xdr:rowOff>85725</xdr:rowOff>
    </xdr:from>
    <xdr:to>
      <xdr:col>15</xdr:col>
      <xdr:colOff>400050</xdr:colOff>
      <xdr:row>8</xdr:row>
      <xdr:rowOff>95250</xdr:rowOff>
    </xdr:to>
    <xdr:sp macro="" textlink="Pivot!$K$2">
      <xdr:nvSpPr>
        <xdr:cNvPr id="27" name="Rectangle 26">
          <a:extLst>
            <a:ext uri="{FF2B5EF4-FFF2-40B4-BE49-F238E27FC236}">
              <a16:creationId xmlns:a16="http://schemas.microsoft.com/office/drawing/2014/main" id="{BC474AB6-1048-4601-9E69-0C40D055AE07}"/>
            </a:ext>
          </a:extLst>
        </xdr:cNvPr>
        <xdr:cNvSpPr/>
      </xdr:nvSpPr>
      <xdr:spPr>
        <a:xfrm>
          <a:off x="8705850" y="1228725"/>
          <a:ext cx="838200" cy="3905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2430B92-BDF9-4216-9677-B310024756F7}" type="TxLink">
            <a:rPr lang="en-US" sz="1600" b="1" i="0" u="none" strike="noStrike">
              <a:solidFill>
                <a:schemeClr val="bg1"/>
              </a:solidFill>
              <a:latin typeface="Calibri"/>
              <a:cs typeface="Calibri"/>
            </a:rPr>
            <a:pPr algn="ctr"/>
            <a:t>205718</a:t>
          </a:fld>
          <a:endParaRPr lang="en-US" sz="1600" b="1">
            <a:solidFill>
              <a:schemeClr val="bg1"/>
            </a:solidFill>
          </a:endParaRPr>
        </a:p>
      </xdr:txBody>
    </xdr:sp>
    <xdr:clientData/>
  </xdr:twoCellAnchor>
  <xdr:twoCellAnchor>
    <xdr:from>
      <xdr:col>4</xdr:col>
      <xdr:colOff>342900</xdr:colOff>
      <xdr:row>3</xdr:row>
      <xdr:rowOff>104775</xdr:rowOff>
    </xdr:from>
    <xdr:to>
      <xdr:col>6</xdr:col>
      <xdr:colOff>400050</xdr:colOff>
      <xdr:row>9</xdr:row>
      <xdr:rowOff>123825</xdr:rowOff>
    </xdr:to>
    <xdr:graphicFrame macro="">
      <xdr:nvGraphicFramePr>
        <xdr:cNvPr id="28" name="Chart 27">
          <a:extLst>
            <a:ext uri="{FF2B5EF4-FFF2-40B4-BE49-F238E27FC236}">
              <a16:creationId xmlns:a16="http://schemas.microsoft.com/office/drawing/2014/main" id="{6456F106-24EA-49B6-8BB7-7EFEA33EE6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209550</xdr:colOff>
      <xdr:row>3</xdr:row>
      <xdr:rowOff>114299</xdr:rowOff>
    </xdr:from>
    <xdr:to>
      <xdr:col>10</xdr:col>
      <xdr:colOff>352425</xdr:colOff>
      <xdr:row>9</xdr:row>
      <xdr:rowOff>85724</xdr:rowOff>
    </xdr:to>
    <xdr:graphicFrame macro="">
      <xdr:nvGraphicFramePr>
        <xdr:cNvPr id="29" name="Chart 28">
          <a:extLst>
            <a:ext uri="{FF2B5EF4-FFF2-40B4-BE49-F238E27FC236}">
              <a16:creationId xmlns:a16="http://schemas.microsoft.com/office/drawing/2014/main" id="{D2342E9B-416D-417F-9E98-C7528F2D8A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559535</xdr:colOff>
      <xdr:row>3</xdr:row>
      <xdr:rowOff>116736</xdr:rowOff>
    </xdr:from>
    <xdr:to>
      <xdr:col>14</xdr:col>
      <xdr:colOff>131353</xdr:colOff>
      <xdr:row>9</xdr:row>
      <xdr:rowOff>107210</xdr:rowOff>
    </xdr:to>
    <xdr:graphicFrame macro="">
      <xdr:nvGraphicFramePr>
        <xdr:cNvPr id="30" name="Chart 29">
          <a:extLst>
            <a:ext uri="{FF2B5EF4-FFF2-40B4-BE49-F238E27FC236}">
              <a16:creationId xmlns:a16="http://schemas.microsoft.com/office/drawing/2014/main" id="{B9438729-D3F1-4789-A3C7-735BA17774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366348</xdr:colOff>
      <xdr:row>3</xdr:row>
      <xdr:rowOff>160422</xdr:rowOff>
    </xdr:from>
    <xdr:to>
      <xdr:col>17</xdr:col>
      <xdr:colOff>439615</xdr:colOff>
      <xdr:row>8</xdr:row>
      <xdr:rowOff>132596</xdr:rowOff>
    </xdr:to>
    <xdr:graphicFrame macro="">
      <xdr:nvGraphicFramePr>
        <xdr:cNvPr id="31" name="Chart 30">
          <a:extLst>
            <a:ext uri="{FF2B5EF4-FFF2-40B4-BE49-F238E27FC236}">
              <a16:creationId xmlns:a16="http://schemas.microsoft.com/office/drawing/2014/main" id="{185E8F7B-0C43-45A4-BEDF-BE0E639996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537795</xdr:colOff>
      <xdr:row>8</xdr:row>
      <xdr:rowOff>181349</xdr:rowOff>
    </xdr:from>
    <xdr:to>
      <xdr:col>17</xdr:col>
      <xdr:colOff>276889</xdr:colOff>
      <xdr:row>19</xdr:row>
      <xdr:rowOff>21638</xdr:rowOff>
    </xdr:to>
    <xdr:sp macro="" textlink="">
      <xdr:nvSpPr>
        <xdr:cNvPr id="35" name="Rectangle 34">
          <a:extLst>
            <a:ext uri="{FF2B5EF4-FFF2-40B4-BE49-F238E27FC236}">
              <a16:creationId xmlns:a16="http://schemas.microsoft.com/office/drawing/2014/main" id="{530A3172-CFD1-48D8-A2BF-2093A825430A}"/>
            </a:ext>
          </a:extLst>
        </xdr:cNvPr>
        <xdr:cNvSpPr/>
      </xdr:nvSpPr>
      <xdr:spPr>
        <a:xfrm>
          <a:off x="1756109" y="1687628"/>
          <a:ext cx="8876449" cy="191142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b="1"/>
        </a:p>
      </xdr:txBody>
    </xdr:sp>
    <xdr:clientData/>
  </xdr:twoCellAnchor>
  <xdr:twoCellAnchor>
    <xdr:from>
      <xdr:col>0</xdr:col>
      <xdr:colOff>63735</xdr:colOff>
      <xdr:row>4</xdr:row>
      <xdr:rowOff>30507</xdr:rowOff>
    </xdr:from>
    <xdr:to>
      <xdr:col>2</xdr:col>
      <xdr:colOff>462053</xdr:colOff>
      <xdr:row>19</xdr:row>
      <xdr:rowOff>21848</xdr:rowOff>
    </xdr:to>
    <xdr:sp macro="" textlink="">
      <xdr:nvSpPr>
        <xdr:cNvPr id="38" name="Rectangle 37">
          <a:extLst>
            <a:ext uri="{FF2B5EF4-FFF2-40B4-BE49-F238E27FC236}">
              <a16:creationId xmlns:a16="http://schemas.microsoft.com/office/drawing/2014/main" id="{5FEA4185-6DC5-4CE7-9D54-5A352AD127ED}"/>
            </a:ext>
          </a:extLst>
        </xdr:cNvPr>
        <xdr:cNvSpPr/>
      </xdr:nvSpPr>
      <xdr:spPr>
        <a:xfrm>
          <a:off x="63735" y="783647"/>
          <a:ext cx="1616632" cy="281561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564173</xdr:colOff>
      <xdr:row>9</xdr:row>
      <xdr:rowOff>121226</xdr:rowOff>
    </xdr:from>
    <xdr:to>
      <xdr:col>7</xdr:col>
      <xdr:colOff>225136</xdr:colOff>
      <xdr:row>19</xdr:row>
      <xdr:rowOff>43295</xdr:rowOff>
    </xdr:to>
    <xdr:graphicFrame macro="">
      <xdr:nvGraphicFramePr>
        <xdr:cNvPr id="32" name="Chart 31">
          <a:extLst>
            <a:ext uri="{FF2B5EF4-FFF2-40B4-BE49-F238E27FC236}">
              <a16:creationId xmlns:a16="http://schemas.microsoft.com/office/drawing/2014/main" id="{FC2367F3-8ABB-48B5-A829-51A60416F1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232061</xdr:colOff>
      <xdr:row>9</xdr:row>
      <xdr:rowOff>150602</xdr:rowOff>
    </xdr:from>
    <xdr:to>
      <xdr:col>12</xdr:col>
      <xdr:colOff>484909</xdr:colOff>
      <xdr:row>18</xdr:row>
      <xdr:rowOff>157196</xdr:rowOff>
    </xdr:to>
    <xdr:graphicFrame macro="">
      <xdr:nvGraphicFramePr>
        <xdr:cNvPr id="36" name="Chart 35">
          <a:extLst>
            <a:ext uri="{FF2B5EF4-FFF2-40B4-BE49-F238E27FC236}">
              <a16:creationId xmlns:a16="http://schemas.microsoft.com/office/drawing/2014/main" id="{0D7638C8-EF46-43FE-9571-68AD8646E4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526208</xdr:colOff>
      <xdr:row>9</xdr:row>
      <xdr:rowOff>95250</xdr:rowOff>
    </xdr:from>
    <xdr:to>
      <xdr:col>17</xdr:col>
      <xdr:colOff>303068</xdr:colOff>
      <xdr:row>18</xdr:row>
      <xdr:rowOff>159426</xdr:rowOff>
    </xdr:to>
    <mc:AlternateContent xmlns:mc="http://schemas.openxmlformats.org/markup-compatibility/2006">
      <mc:Choice xmlns:cx1="http://schemas.microsoft.com/office/drawing/2015/9/8/chartex" Requires="cx1">
        <xdr:graphicFrame macro="">
          <xdr:nvGraphicFramePr>
            <xdr:cNvPr id="37" name="Chart 36">
              <a:extLst>
                <a:ext uri="{FF2B5EF4-FFF2-40B4-BE49-F238E27FC236}">
                  <a16:creationId xmlns:a16="http://schemas.microsoft.com/office/drawing/2014/main" id="{E67805EC-1E66-40FC-B7D4-11F75EB74F7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7841408" y="1809750"/>
              <a:ext cx="2824860" cy="177867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121226</xdr:colOff>
      <xdr:row>4</xdr:row>
      <xdr:rowOff>38032</xdr:rowOff>
    </xdr:from>
    <xdr:to>
      <xdr:col>2</xdr:col>
      <xdr:colOff>77932</xdr:colOff>
      <xdr:row>9</xdr:row>
      <xdr:rowOff>183173</xdr:rowOff>
    </xdr:to>
    <mc:AlternateContent xmlns:mc="http://schemas.openxmlformats.org/markup-compatibility/2006" xmlns:a14="http://schemas.microsoft.com/office/drawing/2010/main">
      <mc:Choice Requires="a14">
        <xdr:graphicFrame macro="">
          <xdr:nvGraphicFramePr>
            <xdr:cNvPr id="6" name="Order ID 1">
              <a:extLst>
                <a:ext uri="{FF2B5EF4-FFF2-40B4-BE49-F238E27FC236}">
                  <a16:creationId xmlns:a16="http://schemas.microsoft.com/office/drawing/2014/main" id="{F7178DA6-0211-4E88-A579-5E9895C24AF3}"/>
                </a:ext>
              </a:extLst>
            </xdr:cNvPr>
            <xdr:cNvGraphicFramePr/>
          </xdr:nvGraphicFramePr>
          <xdr:xfrm>
            <a:off x="0" y="0"/>
            <a:ext cx="0" cy="0"/>
          </xdr:xfrm>
          <a:graphic>
            <a:graphicData uri="http://schemas.microsoft.com/office/drawing/2010/slicer">
              <sle:slicer xmlns:sle="http://schemas.microsoft.com/office/drawing/2010/slicer" name="Order ID 1"/>
            </a:graphicData>
          </a:graphic>
        </xdr:graphicFrame>
      </mc:Choice>
      <mc:Fallback xmlns="">
        <xdr:sp macro="" textlink="">
          <xdr:nvSpPr>
            <xdr:cNvPr id="0" name=""/>
            <xdr:cNvSpPr>
              <a:spLocks noTextEdit="1"/>
            </xdr:cNvSpPr>
          </xdr:nvSpPr>
          <xdr:spPr>
            <a:xfrm>
              <a:off x="121226" y="800032"/>
              <a:ext cx="1172975" cy="10976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207818</xdr:colOff>
      <xdr:row>9</xdr:row>
      <xdr:rowOff>147205</xdr:rowOff>
    </xdr:from>
    <xdr:to>
      <xdr:col>1</xdr:col>
      <xdr:colOff>516082</xdr:colOff>
      <xdr:row>14</xdr:row>
      <xdr:rowOff>60614</xdr:rowOff>
    </xdr:to>
    <xdr:pic>
      <xdr:nvPicPr>
        <xdr:cNvPr id="40" name="Graphic 39" descr="Database with solid fill">
          <a:hlinkClick xmlns:r="http://schemas.openxmlformats.org/officeDocument/2006/relationships" r:id="rId9"/>
          <a:extLst>
            <a:ext uri="{FF2B5EF4-FFF2-40B4-BE49-F238E27FC236}">
              <a16:creationId xmlns:a16="http://schemas.microsoft.com/office/drawing/2014/main" id="{05F9AF4A-538B-447A-A27B-F669A589123A}"/>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207818" y="1861705"/>
          <a:ext cx="914400" cy="865909"/>
        </a:xfrm>
        <a:prstGeom prst="rect">
          <a:avLst/>
        </a:prstGeom>
      </xdr:spPr>
    </xdr:pic>
    <xdr:clientData/>
  </xdr:twoCellAnchor>
  <xdr:twoCellAnchor editAs="oneCell">
    <xdr:from>
      <xdr:col>0</xdr:col>
      <xdr:colOff>201954</xdr:colOff>
      <xdr:row>14</xdr:row>
      <xdr:rowOff>106704</xdr:rowOff>
    </xdr:from>
    <xdr:to>
      <xdr:col>1</xdr:col>
      <xdr:colOff>510218</xdr:colOff>
      <xdr:row>19</xdr:row>
      <xdr:rowOff>68604</xdr:rowOff>
    </xdr:to>
    <xdr:pic>
      <xdr:nvPicPr>
        <xdr:cNvPr id="42" name="Graphic 41" descr="Document with solid fill">
          <a:hlinkClick xmlns:r="http://schemas.openxmlformats.org/officeDocument/2006/relationships" r:id="rId12"/>
          <a:extLst>
            <a:ext uri="{FF2B5EF4-FFF2-40B4-BE49-F238E27FC236}">
              <a16:creationId xmlns:a16="http://schemas.microsoft.com/office/drawing/2014/main" id="{4E072C42-DC26-4197-9E03-3E422A324737}"/>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201954" y="2773704"/>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yam panchal" refreshedDate="46061.77128912037" createdVersion="7" refreshedVersion="7" minRefreshableVersion="3" recordCount="135" xr:uid="{ECA1507D-3D3B-4461-A85D-8A9C6CEAEBB5}">
  <cacheSource type="worksheet">
    <worksheetSource ref="A1:J136" sheet="Ecommerce_Data"/>
  </cacheSource>
  <cacheFields count="10">
    <cacheField name="Order ID" numFmtId="0">
      <sharedItems containsSemiMixedTypes="0" containsString="0" containsNumber="1" containsInteger="1" minValue="1001" maxValue="1135" count="135">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sharedItems>
    </cacheField>
    <cacheField name="Date" numFmtId="165">
      <sharedItems/>
    </cacheField>
    <cacheField name="Month" numFmtId="165">
      <sharedItems count="5">
        <s v="Apr"/>
        <s v="Mar"/>
        <s v="Jan"/>
        <s v="Feb"/>
        <s v="May"/>
      </sharedItems>
    </cacheField>
    <cacheField name="Product Name" numFmtId="0">
      <sharedItems count="8">
        <s v="Bluetooth Headset"/>
        <s v="Sports Shoes"/>
        <s v="Wireless Mouse"/>
        <s v="LED Table Lamp"/>
        <s v="Jeans"/>
        <s v="Water Bottle"/>
        <s v="Mobile Cover"/>
        <s v="Cotton T-Shirt"/>
      </sharedItems>
    </cacheField>
    <cacheField name="Category" numFmtId="0">
      <sharedItems/>
    </cacheField>
    <cacheField name="Quantity" numFmtId="0">
      <sharedItems containsSemiMixedTypes="0" containsString="0" containsNumber="1" containsInteger="1" minValue="1" maxValue="6"/>
    </cacheField>
    <cacheField name="Purchase Price" numFmtId="0">
      <sharedItems containsSemiMixedTypes="0" containsString="0" containsNumber="1" containsInteger="1" minValue="100" maxValue="1997"/>
    </cacheField>
    <cacheField name="Sale Price" numFmtId="0">
      <sharedItems containsSemiMixedTypes="0" containsString="0" containsNumber="1" containsInteger="1" minValue="240" maxValue="2766"/>
    </cacheField>
    <cacheField name="Revenue" numFmtId="0">
      <sharedItems containsSemiMixedTypes="0" containsString="0" containsNumber="1" containsInteger="1" minValue="240" maxValue="16008"/>
    </cacheField>
    <cacheField name="Profit" numFmtId="0">
      <sharedItems containsSemiMixedTypes="0" containsString="0" containsNumber="1" containsInteger="1" minValue="120" maxValue="4698"/>
    </cacheField>
  </cacheFields>
  <extLst>
    <ext xmlns:x14="http://schemas.microsoft.com/office/spreadsheetml/2009/9/main" uri="{725AE2AE-9491-48be-B2B4-4EB974FC3084}">
      <x14:pivotCacheDefinition pivotCacheId="2857046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
  <r>
    <x v="0"/>
    <s v="21 Apr 2025"/>
    <x v="0"/>
    <x v="0"/>
    <s v="Electronics"/>
    <n v="2"/>
    <n v="1597"/>
    <n v="2201"/>
    <n v="4402"/>
    <n v="1208"/>
  </r>
  <r>
    <x v="1"/>
    <s v="30 Mar 2025"/>
    <x v="1"/>
    <x v="1"/>
    <s v="Footwear"/>
    <n v="1"/>
    <n v="129"/>
    <n v="922"/>
    <n v="922"/>
    <n v="793"/>
  </r>
  <r>
    <x v="2"/>
    <s v="11 Mar 2025"/>
    <x v="1"/>
    <x v="2"/>
    <s v="Electronics"/>
    <n v="6"/>
    <n v="501"/>
    <n v="806"/>
    <n v="4836"/>
    <n v="1830"/>
  </r>
  <r>
    <x v="3"/>
    <s v="16 Jan 2025"/>
    <x v="2"/>
    <x v="1"/>
    <s v="Footwear"/>
    <n v="5"/>
    <n v="556"/>
    <n v="849"/>
    <n v="4245"/>
    <n v="1465"/>
  </r>
  <r>
    <x v="4"/>
    <s v="10 Apr 2025"/>
    <x v="0"/>
    <x v="3"/>
    <s v="Home Decor"/>
    <n v="1"/>
    <n v="607"/>
    <n v="806"/>
    <n v="806"/>
    <n v="199"/>
  </r>
  <r>
    <x v="5"/>
    <s v="22 Jan 2025"/>
    <x v="2"/>
    <x v="4"/>
    <s v="Fashion"/>
    <n v="5"/>
    <n v="930"/>
    <n v="1184"/>
    <n v="5920"/>
    <n v="1270"/>
  </r>
  <r>
    <x v="6"/>
    <s v="10 Feb 2025"/>
    <x v="3"/>
    <x v="2"/>
    <s v="Electronics"/>
    <n v="4"/>
    <n v="609"/>
    <n v="768"/>
    <n v="3072"/>
    <n v="636"/>
  </r>
  <r>
    <x v="7"/>
    <s v="05 Feb 2025"/>
    <x v="3"/>
    <x v="5"/>
    <s v="Home &amp; Kitchen"/>
    <n v="1"/>
    <n v="1391"/>
    <n v="1977"/>
    <n v="1977"/>
    <n v="586"/>
  </r>
  <r>
    <x v="8"/>
    <s v="20 Jan 2025"/>
    <x v="2"/>
    <x v="6"/>
    <s v="Accessories"/>
    <n v="2"/>
    <n v="476"/>
    <n v="803"/>
    <n v="1606"/>
    <n v="654"/>
  </r>
  <r>
    <x v="9"/>
    <s v="09 Apr 2025"/>
    <x v="0"/>
    <x v="6"/>
    <s v="Accessories"/>
    <n v="3"/>
    <n v="724"/>
    <n v="1199"/>
    <n v="3597"/>
    <n v="1425"/>
  </r>
  <r>
    <x v="10"/>
    <s v="05 Jan 2025"/>
    <x v="2"/>
    <x v="2"/>
    <s v="Electronics"/>
    <n v="2"/>
    <n v="1183"/>
    <n v="1407"/>
    <n v="2814"/>
    <n v="448"/>
  </r>
  <r>
    <x v="11"/>
    <s v="05 Mar 2025"/>
    <x v="1"/>
    <x v="4"/>
    <s v="Fashion"/>
    <n v="1"/>
    <n v="1809"/>
    <n v="2476"/>
    <n v="2476"/>
    <n v="667"/>
  </r>
  <r>
    <x v="12"/>
    <s v="05 Mar 2025"/>
    <x v="1"/>
    <x v="3"/>
    <s v="Home Decor"/>
    <n v="3"/>
    <n v="1326"/>
    <n v="1504"/>
    <n v="4512"/>
    <n v="534"/>
  </r>
  <r>
    <x v="13"/>
    <s v="12 Feb 2025"/>
    <x v="3"/>
    <x v="3"/>
    <s v="Home Decor"/>
    <n v="4"/>
    <n v="573"/>
    <n v="1034"/>
    <n v="4136"/>
    <n v="1844"/>
  </r>
  <r>
    <x v="14"/>
    <s v="18 Feb 2025"/>
    <x v="3"/>
    <x v="0"/>
    <s v="Electronics"/>
    <n v="2"/>
    <n v="610"/>
    <n v="989"/>
    <n v="1978"/>
    <n v="758"/>
  </r>
  <r>
    <x v="15"/>
    <s v="06 Mar 2025"/>
    <x v="1"/>
    <x v="2"/>
    <s v="Electronics"/>
    <n v="4"/>
    <n v="208"/>
    <n v="748"/>
    <n v="2992"/>
    <n v="2160"/>
  </r>
  <r>
    <x v="16"/>
    <s v="23 Mar 2025"/>
    <x v="1"/>
    <x v="1"/>
    <s v="Footwear"/>
    <n v="6"/>
    <n v="303"/>
    <n v="1086"/>
    <n v="6516"/>
    <n v="4698"/>
  </r>
  <r>
    <x v="17"/>
    <s v="28 Mar 2025"/>
    <x v="1"/>
    <x v="4"/>
    <s v="Fashion"/>
    <n v="1"/>
    <n v="1979"/>
    <n v="2548"/>
    <n v="2548"/>
    <n v="569"/>
  </r>
  <r>
    <x v="18"/>
    <s v="27 Apr 2025"/>
    <x v="0"/>
    <x v="5"/>
    <s v="Home &amp; Kitchen"/>
    <n v="3"/>
    <n v="1127"/>
    <n v="1763"/>
    <n v="5289"/>
    <n v="1908"/>
  </r>
  <r>
    <x v="19"/>
    <s v="06 Feb 2025"/>
    <x v="3"/>
    <x v="3"/>
    <s v="Home Decor"/>
    <n v="1"/>
    <n v="120"/>
    <n v="240"/>
    <n v="240"/>
    <n v="120"/>
  </r>
  <r>
    <x v="20"/>
    <s v="14 Mar 2025"/>
    <x v="1"/>
    <x v="1"/>
    <s v="Footwear"/>
    <n v="3"/>
    <n v="1224"/>
    <n v="1502"/>
    <n v="4506"/>
    <n v="834"/>
  </r>
  <r>
    <x v="21"/>
    <s v="31 Mar 2025"/>
    <x v="1"/>
    <x v="2"/>
    <s v="Electronics"/>
    <n v="1"/>
    <n v="1050"/>
    <n v="1257"/>
    <n v="1257"/>
    <n v="207"/>
  </r>
  <r>
    <x v="22"/>
    <s v="30 Apr 2025"/>
    <x v="0"/>
    <x v="6"/>
    <s v="Accessories"/>
    <n v="5"/>
    <n v="1856"/>
    <n v="2302"/>
    <n v="11510"/>
    <n v="2230"/>
  </r>
  <r>
    <x v="23"/>
    <s v="29 Mar 2025"/>
    <x v="1"/>
    <x v="6"/>
    <s v="Accessories"/>
    <n v="6"/>
    <n v="1106"/>
    <n v="1347"/>
    <n v="8082"/>
    <n v="1446"/>
  </r>
  <r>
    <x v="24"/>
    <s v="28 Jan 2025"/>
    <x v="2"/>
    <x v="6"/>
    <s v="Accessories"/>
    <n v="4"/>
    <n v="1544"/>
    <n v="2077"/>
    <n v="8308"/>
    <n v="2132"/>
  </r>
  <r>
    <x v="25"/>
    <s v="29 Mar 2025"/>
    <x v="1"/>
    <x v="7"/>
    <s v="Fashion"/>
    <n v="2"/>
    <n v="1351"/>
    <n v="1663"/>
    <n v="3326"/>
    <n v="624"/>
  </r>
  <r>
    <x v="26"/>
    <s v="23 Mar 2025"/>
    <x v="1"/>
    <x v="0"/>
    <s v="Electronics"/>
    <n v="4"/>
    <n v="1042"/>
    <n v="1828"/>
    <n v="7312"/>
    <n v="3144"/>
  </r>
  <r>
    <x v="27"/>
    <s v="06 Jan 2025"/>
    <x v="2"/>
    <x v="3"/>
    <s v="Home Decor"/>
    <n v="2"/>
    <n v="1880"/>
    <n v="2118"/>
    <n v="4236"/>
    <n v="476"/>
  </r>
  <r>
    <x v="28"/>
    <s v="30 Apr 2025"/>
    <x v="0"/>
    <x v="4"/>
    <s v="Fashion"/>
    <n v="2"/>
    <n v="981"/>
    <n v="1105"/>
    <n v="2210"/>
    <n v="248"/>
  </r>
  <r>
    <x v="29"/>
    <s v="14 Apr 2025"/>
    <x v="0"/>
    <x v="5"/>
    <s v="Home &amp; Kitchen"/>
    <n v="5"/>
    <n v="1584"/>
    <n v="2100"/>
    <n v="10500"/>
    <n v="2580"/>
  </r>
  <r>
    <x v="30"/>
    <s v="06 Mar 2025"/>
    <x v="1"/>
    <x v="2"/>
    <s v="Electronics"/>
    <n v="6"/>
    <n v="1277"/>
    <n v="2054"/>
    <n v="12324"/>
    <n v="4662"/>
  </r>
  <r>
    <x v="31"/>
    <s v="20 Apr 2025"/>
    <x v="0"/>
    <x v="0"/>
    <s v="Electronics"/>
    <n v="3"/>
    <n v="1640"/>
    <n v="2221"/>
    <n v="6663"/>
    <n v="1743"/>
  </r>
  <r>
    <x v="32"/>
    <s v="01 May 2025"/>
    <x v="4"/>
    <x v="0"/>
    <s v="Electronics"/>
    <n v="1"/>
    <n v="108"/>
    <n v="510"/>
    <n v="510"/>
    <n v="402"/>
  </r>
  <r>
    <x v="33"/>
    <s v="01 Feb 2025"/>
    <x v="3"/>
    <x v="4"/>
    <s v="Fashion"/>
    <n v="5"/>
    <n v="1431"/>
    <n v="1931"/>
    <n v="9655"/>
    <n v="2500"/>
  </r>
  <r>
    <x v="34"/>
    <s v="06 Apr 2025"/>
    <x v="0"/>
    <x v="6"/>
    <s v="Accessories"/>
    <n v="4"/>
    <n v="1654"/>
    <n v="2199"/>
    <n v="8796"/>
    <n v="2180"/>
  </r>
  <r>
    <x v="35"/>
    <s v="21 Mar 2025"/>
    <x v="1"/>
    <x v="0"/>
    <s v="Electronics"/>
    <n v="2"/>
    <n v="128"/>
    <n v="628"/>
    <n v="1256"/>
    <n v="1000"/>
  </r>
  <r>
    <x v="36"/>
    <s v="06 Apr 2025"/>
    <x v="0"/>
    <x v="6"/>
    <s v="Accessories"/>
    <n v="2"/>
    <n v="859"/>
    <n v="1117"/>
    <n v="2234"/>
    <n v="516"/>
  </r>
  <r>
    <x v="37"/>
    <s v="11 Jan 2025"/>
    <x v="2"/>
    <x v="1"/>
    <s v="Footwear"/>
    <n v="6"/>
    <n v="864"/>
    <n v="1075"/>
    <n v="6450"/>
    <n v="1266"/>
  </r>
  <r>
    <x v="38"/>
    <s v="24 Jan 2025"/>
    <x v="2"/>
    <x v="5"/>
    <s v="Home &amp; Kitchen"/>
    <n v="1"/>
    <n v="1234"/>
    <n v="1747"/>
    <n v="1747"/>
    <n v="513"/>
  </r>
  <r>
    <x v="39"/>
    <s v="27 Mar 2025"/>
    <x v="1"/>
    <x v="1"/>
    <s v="Footwear"/>
    <n v="2"/>
    <n v="763"/>
    <n v="962"/>
    <n v="1924"/>
    <n v="398"/>
  </r>
  <r>
    <x v="40"/>
    <s v="27 Mar 2025"/>
    <x v="1"/>
    <x v="2"/>
    <s v="Electronics"/>
    <n v="3"/>
    <n v="986"/>
    <n v="1669"/>
    <n v="5007"/>
    <n v="2049"/>
  </r>
  <r>
    <x v="41"/>
    <s v="05 Mar 2025"/>
    <x v="1"/>
    <x v="3"/>
    <s v="Home Decor"/>
    <n v="4"/>
    <n v="655"/>
    <n v="1088"/>
    <n v="4352"/>
    <n v="1732"/>
  </r>
  <r>
    <x v="42"/>
    <s v="22 Feb 2025"/>
    <x v="3"/>
    <x v="1"/>
    <s v="Footwear"/>
    <n v="5"/>
    <n v="1778"/>
    <n v="2190"/>
    <n v="10950"/>
    <n v="2060"/>
  </r>
  <r>
    <x v="43"/>
    <s v="15 Mar 2025"/>
    <x v="1"/>
    <x v="4"/>
    <s v="Fashion"/>
    <n v="2"/>
    <n v="1800"/>
    <n v="2206"/>
    <n v="4412"/>
    <n v="812"/>
  </r>
  <r>
    <x v="44"/>
    <s v="10 Feb 2025"/>
    <x v="3"/>
    <x v="4"/>
    <s v="Fashion"/>
    <n v="4"/>
    <n v="1948"/>
    <n v="2434"/>
    <n v="9736"/>
    <n v="1944"/>
  </r>
  <r>
    <x v="45"/>
    <s v="28 Jan 2025"/>
    <x v="2"/>
    <x v="6"/>
    <s v="Accessories"/>
    <n v="1"/>
    <n v="767"/>
    <n v="1443"/>
    <n v="1443"/>
    <n v="676"/>
  </r>
  <r>
    <x v="46"/>
    <s v="02 Mar 2025"/>
    <x v="1"/>
    <x v="1"/>
    <s v="Footwear"/>
    <n v="2"/>
    <n v="1123"/>
    <n v="1601"/>
    <n v="3202"/>
    <n v="956"/>
  </r>
  <r>
    <x v="47"/>
    <s v="15 Jan 2025"/>
    <x v="2"/>
    <x v="2"/>
    <s v="Electronics"/>
    <n v="1"/>
    <n v="1546"/>
    <n v="1896"/>
    <n v="1896"/>
    <n v="350"/>
  </r>
  <r>
    <x v="48"/>
    <s v="28 Jan 2025"/>
    <x v="2"/>
    <x v="1"/>
    <s v="Footwear"/>
    <n v="6"/>
    <n v="1976"/>
    <n v="2668"/>
    <n v="16008"/>
    <n v="4152"/>
  </r>
  <r>
    <x v="49"/>
    <s v="08 Jan 2025"/>
    <x v="2"/>
    <x v="1"/>
    <s v="Footwear"/>
    <n v="4"/>
    <n v="1829"/>
    <n v="2603"/>
    <n v="10412"/>
    <n v="3096"/>
  </r>
  <r>
    <x v="50"/>
    <s v="27 Jan 2025"/>
    <x v="2"/>
    <x v="7"/>
    <s v="Fashion"/>
    <n v="3"/>
    <n v="1959"/>
    <n v="2301"/>
    <n v="6903"/>
    <n v="1026"/>
  </r>
  <r>
    <x v="51"/>
    <s v="30 Jan 2025"/>
    <x v="2"/>
    <x v="4"/>
    <s v="Fashion"/>
    <n v="4"/>
    <n v="1740"/>
    <n v="2333"/>
    <n v="9332"/>
    <n v="2372"/>
  </r>
  <r>
    <x v="52"/>
    <s v="10 Jan 2025"/>
    <x v="2"/>
    <x v="0"/>
    <s v="Electronics"/>
    <n v="3"/>
    <n v="1540"/>
    <n v="2320"/>
    <n v="6960"/>
    <n v="2340"/>
  </r>
  <r>
    <x v="53"/>
    <s v="15 Jan 2025"/>
    <x v="2"/>
    <x v="4"/>
    <s v="Fashion"/>
    <n v="2"/>
    <n v="1764"/>
    <n v="2327"/>
    <n v="4654"/>
    <n v="1126"/>
  </r>
  <r>
    <x v="54"/>
    <s v="06 Jan 2025"/>
    <x v="2"/>
    <x v="7"/>
    <s v="Fashion"/>
    <n v="3"/>
    <n v="1216"/>
    <n v="1367"/>
    <n v="4101"/>
    <n v="453"/>
  </r>
  <r>
    <x v="55"/>
    <s v="04 Jan 2025"/>
    <x v="2"/>
    <x v="2"/>
    <s v="Electronics"/>
    <n v="3"/>
    <n v="1020"/>
    <n v="1403"/>
    <n v="4209"/>
    <n v="1149"/>
  </r>
  <r>
    <x v="56"/>
    <s v="17 Feb 2025"/>
    <x v="3"/>
    <x v="7"/>
    <s v="Fashion"/>
    <n v="4"/>
    <n v="1883"/>
    <n v="2064"/>
    <n v="8256"/>
    <n v="724"/>
  </r>
  <r>
    <x v="57"/>
    <s v="25 Mar 2025"/>
    <x v="1"/>
    <x v="3"/>
    <s v="Home Decor"/>
    <n v="2"/>
    <n v="211"/>
    <n v="934"/>
    <n v="1868"/>
    <n v="1446"/>
  </r>
  <r>
    <x v="58"/>
    <s v="24 Mar 2025"/>
    <x v="1"/>
    <x v="3"/>
    <s v="Home Decor"/>
    <n v="6"/>
    <n v="1384"/>
    <n v="1788"/>
    <n v="10728"/>
    <n v="2424"/>
  </r>
  <r>
    <x v="59"/>
    <s v="27 Apr 2025"/>
    <x v="0"/>
    <x v="2"/>
    <s v="Electronics"/>
    <n v="1"/>
    <n v="1352"/>
    <n v="1809"/>
    <n v="1809"/>
    <n v="457"/>
  </r>
  <r>
    <x v="60"/>
    <s v="29 Apr 2025"/>
    <x v="0"/>
    <x v="1"/>
    <s v="Footwear"/>
    <n v="2"/>
    <n v="1980"/>
    <n v="2541"/>
    <n v="5082"/>
    <n v="1122"/>
  </r>
  <r>
    <x v="61"/>
    <s v="25 Feb 2025"/>
    <x v="3"/>
    <x v="0"/>
    <s v="Electronics"/>
    <n v="6"/>
    <n v="1343"/>
    <n v="1647"/>
    <n v="9882"/>
    <n v="1824"/>
  </r>
  <r>
    <x v="62"/>
    <s v="02 Jan 2025"/>
    <x v="2"/>
    <x v="5"/>
    <s v="Home &amp; Kitchen"/>
    <n v="5"/>
    <n v="1100"/>
    <n v="1749"/>
    <n v="8745"/>
    <n v="3245"/>
  </r>
  <r>
    <x v="63"/>
    <s v="04 Jan 2025"/>
    <x v="2"/>
    <x v="5"/>
    <s v="Home &amp; Kitchen"/>
    <n v="3"/>
    <n v="1865"/>
    <n v="2355"/>
    <n v="7065"/>
    <n v="1470"/>
  </r>
  <r>
    <x v="64"/>
    <s v="22 Apr 2025"/>
    <x v="0"/>
    <x v="0"/>
    <s v="Electronics"/>
    <n v="3"/>
    <n v="1389"/>
    <n v="1865"/>
    <n v="5595"/>
    <n v="1428"/>
  </r>
  <r>
    <x v="65"/>
    <s v="07 Jan 2025"/>
    <x v="2"/>
    <x v="2"/>
    <s v="Electronics"/>
    <n v="1"/>
    <n v="218"/>
    <n v="870"/>
    <n v="870"/>
    <n v="652"/>
  </r>
  <r>
    <x v="66"/>
    <s v="21 Jan 2025"/>
    <x v="2"/>
    <x v="4"/>
    <s v="Fashion"/>
    <n v="5"/>
    <n v="1924"/>
    <n v="2110"/>
    <n v="10550"/>
    <n v="930"/>
  </r>
  <r>
    <x v="67"/>
    <s v="16 Mar 2025"/>
    <x v="1"/>
    <x v="5"/>
    <s v="Home &amp; Kitchen"/>
    <n v="4"/>
    <n v="572"/>
    <n v="1265"/>
    <n v="5060"/>
    <n v="2772"/>
  </r>
  <r>
    <x v="68"/>
    <s v="08 Feb 2025"/>
    <x v="3"/>
    <x v="5"/>
    <s v="Home &amp; Kitchen"/>
    <n v="5"/>
    <n v="285"/>
    <n v="553"/>
    <n v="2765"/>
    <n v="1340"/>
  </r>
  <r>
    <x v="69"/>
    <s v="09 Feb 2025"/>
    <x v="3"/>
    <x v="1"/>
    <s v="Footwear"/>
    <n v="3"/>
    <n v="767"/>
    <n v="903"/>
    <n v="2709"/>
    <n v="408"/>
  </r>
  <r>
    <x v="70"/>
    <s v="22 Feb 2025"/>
    <x v="3"/>
    <x v="1"/>
    <s v="Footwear"/>
    <n v="3"/>
    <n v="369"/>
    <n v="1073"/>
    <n v="3219"/>
    <n v="2112"/>
  </r>
  <r>
    <x v="71"/>
    <s v="04 Mar 2025"/>
    <x v="1"/>
    <x v="6"/>
    <s v="Accessories"/>
    <n v="4"/>
    <n v="1025"/>
    <n v="1174"/>
    <n v="4696"/>
    <n v="596"/>
  </r>
  <r>
    <x v="72"/>
    <s v="19 Jan 2025"/>
    <x v="2"/>
    <x v="1"/>
    <s v="Footwear"/>
    <n v="4"/>
    <n v="279"/>
    <n v="710"/>
    <n v="2840"/>
    <n v="1724"/>
  </r>
  <r>
    <x v="73"/>
    <s v="07 Feb 2025"/>
    <x v="3"/>
    <x v="6"/>
    <s v="Accessories"/>
    <n v="4"/>
    <n v="993"/>
    <n v="1323"/>
    <n v="5292"/>
    <n v="1320"/>
  </r>
  <r>
    <x v="74"/>
    <s v="08 Jan 2025"/>
    <x v="2"/>
    <x v="0"/>
    <s v="Electronics"/>
    <n v="6"/>
    <n v="167"/>
    <n v="591"/>
    <n v="3546"/>
    <n v="2544"/>
  </r>
  <r>
    <x v="75"/>
    <s v="02 Feb 2025"/>
    <x v="3"/>
    <x v="3"/>
    <s v="Home Decor"/>
    <n v="6"/>
    <n v="1224"/>
    <n v="1583"/>
    <n v="9498"/>
    <n v="2154"/>
  </r>
  <r>
    <x v="76"/>
    <s v="10 Mar 2025"/>
    <x v="1"/>
    <x v="3"/>
    <s v="Home Decor"/>
    <n v="6"/>
    <n v="222"/>
    <n v="340"/>
    <n v="2040"/>
    <n v="708"/>
  </r>
  <r>
    <x v="77"/>
    <s v="28 Feb 2025"/>
    <x v="3"/>
    <x v="7"/>
    <s v="Fashion"/>
    <n v="5"/>
    <n v="230"/>
    <n v="336"/>
    <n v="1680"/>
    <n v="530"/>
  </r>
  <r>
    <x v="78"/>
    <s v="08 Apr 2025"/>
    <x v="0"/>
    <x v="2"/>
    <s v="Electronics"/>
    <n v="3"/>
    <n v="1029"/>
    <n v="1477"/>
    <n v="4431"/>
    <n v="1344"/>
  </r>
  <r>
    <x v="79"/>
    <s v="03 Jan 2025"/>
    <x v="2"/>
    <x v="1"/>
    <s v="Footwear"/>
    <n v="5"/>
    <n v="607"/>
    <n v="1316"/>
    <n v="6580"/>
    <n v="3545"/>
  </r>
  <r>
    <x v="80"/>
    <s v="29 Jan 2025"/>
    <x v="2"/>
    <x v="5"/>
    <s v="Home &amp; Kitchen"/>
    <n v="4"/>
    <n v="150"/>
    <n v="484"/>
    <n v="1936"/>
    <n v="1336"/>
  </r>
  <r>
    <x v="81"/>
    <s v="18 Jan 2025"/>
    <x v="2"/>
    <x v="3"/>
    <s v="Home Decor"/>
    <n v="3"/>
    <n v="100"/>
    <n v="638"/>
    <n v="1914"/>
    <n v="1614"/>
  </r>
  <r>
    <x v="82"/>
    <s v="03 Feb 2025"/>
    <x v="3"/>
    <x v="5"/>
    <s v="Home &amp; Kitchen"/>
    <n v="4"/>
    <n v="725"/>
    <n v="1043"/>
    <n v="4172"/>
    <n v="1272"/>
  </r>
  <r>
    <x v="83"/>
    <s v="06 Jan 2025"/>
    <x v="2"/>
    <x v="2"/>
    <s v="Electronics"/>
    <n v="3"/>
    <n v="829"/>
    <n v="1364"/>
    <n v="4092"/>
    <n v="1605"/>
  </r>
  <r>
    <x v="84"/>
    <s v="19 Mar 2025"/>
    <x v="1"/>
    <x v="6"/>
    <s v="Accessories"/>
    <n v="5"/>
    <n v="667"/>
    <n v="932"/>
    <n v="4660"/>
    <n v="1325"/>
  </r>
  <r>
    <x v="85"/>
    <s v="20 Apr 2025"/>
    <x v="0"/>
    <x v="1"/>
    <s v="Footwear"/>
    <n v="3"/>
    <n v="1437"/>
    <n v="1685"/>
    <n v="5055"/>
    <n v="744"/>
  </r>
  <r>
    <x v="86"/>
    <s v="06 Mar 2025"/>
    <x v="1"/>
    <x v="3"/>
    <s v="Home Decor"/>
    <n v="4"/>
    <n v="852"/>
    <n v="1158"/>
    <n v="4632"/>
    <n v="1224"/>
  </r>
  <r>
    <x v="87"/>
    <s v="25 Apr 2025"/>
    <x v="0"/>
    <x v="1"/>
    <s v="Footwear"/>
    <n v="4"/>
    <n v="1197"/>
    <n v="1844"/>
    <n v="7376"/>
    <n v="2588"/>
  </r>
  <r>
    <x v="88"/>
    <s v="24 Feb 2025"/>
    <x v="3"/>
    <x v="1"/>
    <s v="Footwear"/>
    <n v="3"/>
    <n v="1724"/>
    <n v="1832"/>
    <n v="5496"/>
    <n v="324"/>
  </r>
  <r>
    <x v="89"/>
    <s v="23 Apr 2025"/>
    <x v="0"/>
    <x v="1"/>
    <s v="Footwear"/>
    <n v="5"/>
    <n v="1926"/>
    <n v="2623"/>
    <n v="13115"/>
    <n v="3485"/>
  </r>
  <r>
    <x v="90"/>
    <s v="05 Apr 2025"/>
    <x v="0"/>
    <x v="0"/>
    <s v="Electronics"/>
    <n v="5"/>
    <n v="1573"/>
    <n v="1679"/>
    <n v="8395"/>
    <n v="530"/>
  </r>
  <r>
    <x v="91"/>
    <s v="18 Feb 2025"/>
    <x v="3"/>
    <x v="2"/>
    <s v="Electronics"/>
    <n v="6"/>
    <n v="882"/>
    <n v="1345"/>
    <n v="8070"/>
    <n v="2778"/>
  </r>
  <r>
    <x v="92"/>
    <s v="11 Jan 2025"/>
    <x v="2"/>
    <x v="0"/>
    <s v="Electronics"/>
    <n v="6"/>
    <n v="1124"/>
    <n v="1319"/>
    <n v="7914"/>
    <n v="1170"/>
  </r>
  <r>
    <x v="93"/>
    <s v="10 Mar 2025"/>
    <x v="1"/>
    <x v="7"/>
    <s v="Fashion"/>
    <n v="1"/>
    <n v="892"/>
    <n v="1674"/>
    <n v="1674"/>
    <n v="782"/>
  </r>
  <r>
    <x v="94"/>
    <s v="25 Mar 2025"/>
    <x v="1"/>
    <x v="4"/>
    <s v="Fashion"/>
    <n v="3"/>
    <n v="1795"/>
    <n v="2175"/>
    <n v="6525"/>
    <n v="1140"/>
  </r>
  <r>
    <x v="95"/>
    <s v="02 Mar 2025"/>
    <x v="1"/>
    <x v="6"/>
    <s v="Accessories"/>
    <n v="3"/>
    <n v="1302"/>
    <n v="1936"/>
    <n v="5808"/>
    <n v="1902"/>
  </r>
  <r>
    <x v="96"/>
    <s v="01 May 2025"/>
    <x v="4"/>
    <x v="1"/>
    <s v="Footwear"/>
    <n v="6"/>
    <n v="1690"/>
    <n v="2108"/>
    <n v="12648"/>
    <n v="2508"/>
  </r>
  <r>
    <x v="97"/>
    <s v="13 Feb 2025"/>
    <x v="3"/>
    <x v="3"/>
    <s v="Home Decor"/>
    <n v="5"/>
    <n v="1242"/>
    <n v="1503"/>
    <n v="7515"/>
    <n v="1305"/>
  </r>
  <r>
    <x v="98"/>
    <s v="09 Jan 2025"/>
    <x v="2"/>
    <x v="2"/>
    <s v="Electronics"/>
    <n v="5"/>
    <n v="801"/>
    <n v="1293"/>
    <n v="6465"/>
    <n v="2460"/>
  </r>
  <r>
    <x v="99"/>
    <s v="03 Jan 2025"/>
    <x v="2"/>
    <x v="0"/>
    <s v="Electronics"/>
    <n v="3"/>
    <n v="1626"/>
    <n v="1987"/>
    <n v="5961"/>
    <n v="1083"/>
  </r>
  <r>
    <x v="100"/>
    <s v="27 Jan 2025"/>
    <x v="2"/>
    <x v="3"/>
    <s v="Home Decor"/>
    <n v="2"/>
    <n v="1380"/>
    <n v="2050"/>
    <n v="4100"/>
    <n v="1340"/>
  </r>
  <r>
    <x v="101"/>
    <s v="05 Apr 2025"/>
    <x v="0"/>
    <x v="1"/>
    <s v="Footwear"/>
    <n v="5"/>
    <n v="677"/>
    <n v="1165"/>
    <n v="5825"/>
    <n v="2440"/>
  </r>
  <r>
    <x v="102"/>
    <s v="24 Apr 2025"/>
    <x v="0"/>
    <x v="2"/>
    <s v="Electronics"/>
    <n v="3"/>
    <n v="978"/>
    <n v="1363"/>
    <n v="4089"/>
    <n v="1155"/>
  </r>
  <r>
    <x v="103"/>
    <s v="07 Feb 2025"/>
    <x v="3"/>
    <x v="1"/>
    <s v="Footwear"/>
    <n v="4"/>
    <n v="757"/>
    <n v="1018"/>
    <n v="4072"/>
    <n v="1044"/>
  </r>
  <r>
    <x v="104"/>
    <s v="27 Feb 2025"/>
    <x v="3"/>
    <x v="6"/>
    <s v="Accessories"/>
    <n v="1"/>
    <n v="1879"/>
    <n v="2294"/>
    <n v="2294"/>
    <n v="415"/>
  </r>
  <r>
    <x v="105"/>
    <s v="29 Apr 2025"/>
    <x v="0"/>
    <x v="0"/>
    <s v="Electronics"/>
    <n v="1"/>
    <n v="898"/>
    <n v="1258"/>
    <n v="1258"/>
    <n v="360"/>
  </r>
  <r>
    <x v="106"/>
    <s v="07 Apr 2025"/>
    <x v="0"/>
    <x v="0"/>
    <s v="Electronics"/>
    <n v="4"/>
    <n v="112"/>
    <n v="756"/>
    <n v="3024"/>
    <n v="2576"/>
  </r>
  <r>
    <x v="107"/>
    <s v="09 Mar 2025"/>
    <x v="1"/>
    <x v="6"/>
    <s v="Accessories"/>
    <n v="3"/>
    <n v="1997"/>
    <n v="2766"/>
    <n v="8298"/>
    <n v="2307"/>
  </r>
  <r>
    <x v="108"/>
    <s v="05 Apr 2025"/>
    <x v="0"/>
    <x v="2"/>
    <s v="Electronics"/>
    <n v="5"/>
    <n v="1716"/>
    <n v="2189"/>
    <n v="10945"/>
    <n v="2365"/>
  </r>
  <r>
    <x v="109"/>
    <s v="07 Feb 2025"/>
    <x v="3"/>
    <x v="2"/>
    <s v="Electronics"/>
    <n v="2"/>
    <n v="1684"/>
    <n v="2192"/>
    <n v="4384"/>
    <n v="1016"/>
  </r>
  <r>
    <x v="110"/>
    <s v="30 Apr 2025"/>
    <x v="0"/>
    <x v="1"/>
    <s v="Footwear"/>
    <n v="1"/>
    <n v="1923"/>
    <n v="2231"/>
    <n v="2231"/>
    <n v="308"/>
  </r>
  <r>
    <x v="111"/>
    <s v="04 Jan 2025"/>
    <x v="2"/>
    <x v="7"/>
    <s v="Fashion"/>
    <n v="5"/>
    <n v="1632"/>
    <n v="2355"/>
    <n v="11775"/>
    <n v="3615"/>
  </r>
  <r>
    <x v="112"/>
    <s v="26 Mar 2025"/>
    <x v="1"/>
    <x v="2"/>
    <s v="Electronics"/>
    <n v="6"/>
    <n v="1421"/>
    <n v="1722"/>
    <n v="10332"/>
    <n v="1806"/>
  </r>
  <r>
    <x v="113"/>
    <s v="23 Apr 2025"/>
    <x v="0"/>
    <x v="1"/>
    <s v="Footwear"/>
    <n v="5"/>
    <n v="752"/>
    <n v="1178"/>
    <n v="5890"/>
    <n v="2130"/>
  </r>
  <r>
    <x v="114"/>
    <s v="16 Jan 2025"/>
    <x v="2"/>
    <x v="3"/>
    <s v="Home Decor"/>
    <n v="5"/>
    <n v="1217"/>
    <n v="1639"/>
    <n v="8195"/>
    <n v="2110"/>
  </r>
  <r>
    <x v="115"/>
    <s v="12 Feb 2025"/>
    <x v="3"/>
    <x v="1"/>
    <s v="Footwear"/>
    <n v="6"/>
    <n v="567"/>
    <n v="974"/>
    <n v="5844"/>
    <n v="2442"/>
  </r>
  <r>
    <x v="116"/>
    <s v="21 Mar 2025"/>
    <x v="1"/>
    <x v="4"/>
    <s v="Fashion"/>
    <n v="1"/>
    <n v="881"/>
    <n v="1024"/>
    <n v="1024"/>
    <n v="143"/>
  </r>
  <r>
    <x v="117"/>
    <s v="23 Feb 2025"/>
    <x v="3"/>
    <x v="3"/>
    <s v="Home Decor"/>
    <n v="4"/>
    <n v="565"/>
    <n v="1273"/>
    <n v="5092"/>
    <n v="2832"/>
  </r>
  <r>
    <x v="118"/>
    <s v="31 Jan 2025"/>
    <x v="2"/>
    <x v="2"/>
    <s v="Electronics"/>
    <n v="1"/>
    <n v="1910"/>
    <n v="2193"/>
    <n v="2193"/>
    <n v="283"/>
  </r>
  <r>
    <x v="119"/>
    <s v="06 Feb 2025"/>
    <x v="3"/>
    <x v="4"/>
    <s v="Fashion"/>
    <n v="6"/>
    <n v="859"/>
    <n v="985"/>
    <n v="5910"/>
    <n v="756"/>
  </r>
  <r>
    <x v="120"/>
    <s v="10 Apr 2025"/>
    <x v="0"/>
    <x v="3"/>
    <s v="Home Decor"/>
    <n v="4"/>
    <n v="1505"/>
    <n v="2168"/>
    <n v="8672"/>
    <n v="2652"/>
  </r>
  <r>
    <x v="121"/>
    <s v="09 Jan 2025"/>
    <x v="2"/>
    <x v="6"/>
    <s v="Accessories"/>
    <n v="1"/>
    <n v="1089"/>
    <n v="1381"/>
    <n v="1381"/>
    <n v="292"/>
  </r>
  <r>
    <x v="122"/>
    <s v="27 Mar 2025"/>
    <x v="1"/>
    <x v="1"/>
    <s v="Footwear"/>
    <n v="6"/>
    <n v="371"/>
    <n v="586"/>
    <n v="3516"/>
    <n v="1290"/>
  </r>
  <r>
    <x v="123"/>
    <s v="20 Feb 2025"/>
    <x v="3"/>
    <x v="4"/>
    <s v="Fashion"/>
    <n v="5"/>
    <n v="1885"/>
    <n v="2306"/>
    <n v="11530"/>
    <n v="2105"/>
  </r>
  <r>
    <x v="124"/>
    <s v="18 Apr 2025"/>
    <x v="0"/>
    <x v="0"/>
    <s v="Electronics"/>
    <n v="1"/>
    <n v="895"/>
    <n v="1385"/>
    <n v="1385"/>
    <n v="490"/>
  </r>
  <r>
    <x v="125"/>
    <s v="15 Apr 2025"/>
    <x v="0"/>
    <x v="7"/>
    <s v="Fashion"/>
    <n v="1"/>
    <n v="752"/>
    <n v="1320"/>
    <n v="1320"/>
    <n v="568"/>
  </r>
  <r>
    <x v="126"/>
    <s v="09 Jan 2025"/>
    <x v="2"/>
    <x v="0"/>
    <s v="Electronics"/>
    <n v="6"/>
    <n v="1141"/>
    <n v="1685"/>
    <n v="10110"/>
    <n v="3264"/>
  </r>
  <r>
    <x v="127"/>
    <s v="28 Jan 2025"/>
    <x v="2"/>
    <x v="7"/>
    <s v="Fashion"/>
    <n v="5"/>
    <n v="381"/>
    <n v="926"/>
    <n v="4630"/>
    <n v="2725"/>
  </r>
  <r>
    <x v="128"/>
    <s v="08 Apr 2025"/>
    <x v="0"/>
    <x v="5"/>
    <s v="Home &amp; Kitchen"/>
    <n v="2"/>
    <n v="215"/>
    <n v="925"/>
    <n v="1850"/>
    <n v="1420"/>
  </r>
  <r>
    <x v="129"/>
    <s v="09 Jan 2025"/>
    <x v="2"/>
    <x v="1"/>
    <s v="Footwear"/>
    <n v="6"/>
    <n v="578"/>
    <n v="1330"/>
    <n v="7980"/>
    <n v="4512"/>
  </r>
  <r>
    <x v="130"/>
    <s v="09 Apr 2025"/>
    <x v="0"/>
    <x v="4"/>
    <s v="Fashion"/>
    <n v="2"/>
    <n v="1334"/>
    <n v="2122"/>
    <n v="4244"/>
    <n v="1576"/>
  </r>
  <r>
    <x v="131"/>
    <s v="18 Apr 2025"/>
    <x v="0"/>
    <x v="5"/>
    <s v="Home &amp; Kitchen"/>
    <n v="6"/>
    <n v="203"/>
    <n v="340"/>
    <n v="2040"/>
    <n v="822"/>
  </r>
  <r>
    <x v="132"/>
    <s v="20 Mar 2025"/>
    <x v="1"/>
    <x v="5"/>
    <s v="Home &amp; Kitchen"/>
    <n v="3"/>
    <n v="557"/>
    <n v="845"/>
    <n v="2535"/>
    <n v="864"/>
  </r>
  <r>
    <x v="133"/>
    <s v="24 Jan 2025"/>
    <x v="2"/>
    <x v="5"/>
    <s v="Home &amp; Kitchen"/>
    <n v="4"/>
    <n v="1552"/>
    <n v="1742"/>
    <n v="6968"/>
    <n v="760"/>
  </r>
  <r>
    <x v="134"/>
    <s v="19 Jan 2025"/>
    <x v="2"/>
    <x v="5"/>
    <s v="Home &amp; Kitchen"/>
    <n v="5"/>
    <n v="1084"/>
    <n v="1839"/>
    <n v="9195"/>
    <n v="37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F4E6C7-90A6-4492-B66F-96DAFA0D9CA7}"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D21:E30" firstHeaderRow="1" firstDataRow="1" firstDataCol="1"/>
  <pivotFields count="10">
    <pivotField showAll="0">
      <items count="1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t="default"/>
      </items>
    </pivotField>
    <pivotField showAll="0"/>
    <pivotField showAll="0">
      <items count="6">
        <item x="2"/>
        <item x="3"/>
        <item x="1"/>
        <item x="0"/>
        <item x="4"/>
        <item t="default"/>
      </items>
    </pivotField>
    <pivotField axis="axisRow" showAll="0">
      <items count="9">
        <item x="0"/>
        <item x="7"/>
        <item x="4"/>
        <item x="3"/>
        <item x="6"/>
        <item x="1"/>
        <item x="5"/>
        <item x="2"/>
        <item t="default"/>
      </items>
    </pivotField>
    <pivotField showAll="0"/>
    <pivotField showAll="0"/>
    <pivotField showAll="0"/>
    <pivotField showAll="0"/>
    <pivotField showAll="0"/>
    <pivotField dataField="1" showAll="0"/>
  </pivotFields>
  <rowFields count="1">
    <field x="3"/>
  </rowFields>
  <rowItems count="9">
    <i>
      <x/>
    </i>
    <i>
      <x v="1"/>
    </i>
    <i>
      <x v="2"/>
    </i>
    <i>
      <x v="3"/>
    </i>
    <i>
      <x v="4"/>
    </i>
    <i>
      <x v="5"/>
    </i>
    <i>
      <x v="6"/>
    </i>
    <i>
      <x v="7"/>
    </i>
    <i t="grand">
      <x/>
    </i>
  </rowItems>
  <colItems count="1">
    <i/>
  </colItems>
  <dataFields count="1">
    <dataField name="Sum of Profit" fld="9" baseField="0" baseItem="0"/>
  </dataFields>
  <chartFormats count="3">
    <chartFormat chart="9"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A1B168-749A-4A05-8E86-6FD8539C364E}"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21:B27" firstHeaderRow="1" firstDataRow="1" firstDataCol="1"/>
  <pivotFields count="10">
    <pivotField showAll="0">
      <items count="1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t="default"/>
      </items>
    </pivotField>
    <pivotField showAll="0"/>
    <pivotField axis="axisRow" showAll="0">
      <items count="6">
        <item x="2"/>
        <item x="3"/>
        <item x="1"/>
        <item x="0"/>
        <item x="4"/>
        <item t="default"/>
      </items>
    </pivotField>
    <pivotField showAll="0"/>
    <pivotField showAll="0"/>
    <pivotField showAll="0"/>
    <pivotField showAll="0"/>
    <pivotField showAll="0"/>
    <pivotField showAll="0"/>
    <pivotField dataField="1" showAll="0"/>
  </pivotFields>
  <rowFields count="1">
    <field x="2"/>
  </rowFields>
  <rowItems count="6">
    <i>
      <x/>
    </i>
    <i>
      <x v="1"/>
    </i>
    <i>
      <x v="2"/>
    </i>
    <i>
      <x v="3"/>
    </i>
    <i>
      <x v="4"/>
    </i>
    <i t="grand">
      <x/>
    </i>
  </rowItems>
  <colItems count="1">
    <i/>
  </colItems>
  <dataFields count="1">
    <dataField name="Sum of Profit" fld="9" baseField="0" baseItem="0"/>
  </dataField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519324-29A4-4FCA-8862-85FAEDBC77A8}" name="Totalquantity"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D3:E12" firstHeaderRow="1" firstDataRow="1" firstDataCol="1"/>
  <pivotFields count="10">
    <pivotField showAll="0">
      <items count="1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t="default"/>
      </items>
    </pivotField>
    <pivotField showAll="0"/>
    <pivotField showAll="0"/>
    <pivotField axis="axisRow" showAll="0">
      <items count="9">
        <item x="0"/>
        <item x="7"/>
        <item x="4"/>
        <item x="3"/>
        <item x="6"/>
        <item x="1"/>
        <item x="5"/>
        <item x="2"/>
        <item t="default"/>
      </items>
    </pivotField>
    <pivotField showAll="0"/>
    <pivotField dataField="1" showAll="0"/>
    <pivotField showAll="0"/>
    <pivotField showAll="0"/>
    <pivotField showAll="0"/>
    <pivotField showAll="0"/>
  </pivotFields>
  <rowFields count="1">
    <field x="3"/>
  </rowFields>
  <rowItems count="9">
    <i>
      <x/>
    </i>
    <i>
      <x v="1"/>
    </i>
    <i>
      <x v="2"/>
    </i>
    <i>
      <x v="3"/>
    </i>
    <i>
      <x v="4"/>
    </i>
    <i>
      <x v="5"/>
    </i>
    <i>
      <x v="6"/>
    </i>
    <i>
      <x v="7"/>
    </i>
    <i t="grand">
      <x/>
    </i>
  </rowItems>
  <colItems count="1">
    <i/>
  </colItems>
  <dataFields count="1">
    <dataField name="Sum of Quantity" fld="5" baseField="0" baseItem="0"/>
  </dataFields>
  <chartFormats count="10">
    <chartFormat chart="2" format="0" series="1">
      <pivotArea type="data" outline="0" fieldPosition="0">
        <references count="1">
          <reference field="4294967294" count="1" selected="0">
            <x v="0"/>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3" count="1" selected="0">
            <x v="0"/>
          </reference>
        </references>
      </pivotArea>
    </chartFormat>
    <chartFormat chart="7" format="12">
      <pivotArea type="data" outline="0" fieldPosition="0">
        <references count="2">
          <reference field="4294967294" count="1" selected="0">
            <x v="0"/>
          </reference>
          <reference field="3" count="1" selected="0">
            <x v="1"/>
          </reference>
        </references>
      </pivotArea>
    </chartFormat>
    <chartFormat chart="7" format="13">
      <pivotArea type="data" outline="0" fieldPosition="0">
        <references count="2">
          <reference field="4294967294" count="1" selected="0">
            <x v="0"/>
          </reference>
          <reference field="3" count="1" selected="0">
            <x v="2"/>
          </reference>
        </references>
      </pivotArea>
    </chartFormat>
    <chartFormat chart="7" format="14">
      <pivotArea type="data" outline="0" fieldPosition="0">
        <references count="2">
          <reference field="4294967294" count="1" selected="0">
            <x v="0"/>
          </reference>
          <reference field="3" count="1" selected="0">
            <x v="3"/>
          </reference>
        </references>
      </pivotArea>
    </chartFormat>
    <chartFormat chart="7" format="15">
      <pivotArea type="data" outline="0" fieldPosition="0">
        <references count="2">
          <reference field="4294967294" count="1" selected="0">
            <x v="0"/>
          </reference>
          <reference field="3" count="1" selected="0">
            <x v="4"/>
          </reference>
        </references>
      </pivotArea>
    </chartFormat>
    <chartFormat chart="7" format="16">
      <pivotArea type="data" outline="0" fieldPosition="0">
        <references count="2">
          <reference field="4294967294" count="1" selected="0">
            <x v="0"/>
          </reference>
          <reference field="3" count="1" selected="0">
            <x v="5"/>
          </reference>
        </references>
      </pivotArea>
    </chartFormat>
    <chartFormat chart="7" format="17">
      <pivotArea type="data" outline="0" fieldPosition="0">
        <references count="2">
          <reference field="4294967294" count="1" selected="0">
            <x v="0"/>
          </reference>
          <reference field="3" count="1" selected="0">
            <x v="6"/>
          </reference>
        </references>
      </pivotArea>
    </chartFormat>
    <chartFormat chart="7" format="18">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6A3E65-E315-4F27-8FF5-DD5118F01458}" name="Totalprofi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J3:K12" firstHeaderRow="1" firstDataRow="1" firstDataCol="1"/>
  <pivotFields count="10">
    <pivotField showAll="0">
      <items count="1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t="default"/>
      </items>
    </pivotField>
    <pivotField showAll="0"/>
    <pivotField showAll="0"/>
    <pivotField axis="axisRow" showAll="0">
      <items count="9">
        <item x="0"/>
        <item x="7"/>
        <item x="4"/>
        <item x="3"/>
        <item x="6"/>
        <item x="1"/>
        <item x="5"/>
        <item x="2"/>
        <item t="default"/>
      </items>
    </pivotField>
    <pivotField showAll="0"/>
    <pivotField showAll="0"/>
    <pivotField showAll="0"/>
    <pivotField showAll="0"/>
    <pivotField showAll="0"/>
    <pivotField dataField="1" showAll="0"/>
  </pivotFields>
  <rowFields count="1">
    <field x="3"/>
  </rowFields>
  <rowItems count="9">
    <i>
      <x/>
    </i>
    <i>
      <x v="1"/>
    </i>
    <i>
      <x v="2"/>
    </i>
    <i>
      <x v="3"/>
    </i>
    <i>
      <x v="4"/>
    </i>
    <i>
      <x v="5"/>
    </i>
    <i>
      <x v="6"/>
    </i>
    <i>
      <x v="7"/>
    </i>
    <i t="grand">
      <x/>
    </i>
  </rowItems>
  <colItems count="1">
    <i/>
  </colItems>
  <dataFields count="1">
    <dataField name="Sum of Profit" fld="9" baseField="0" baseItem="0"/>
  </dataFields>
  <chartFormats count="10">
    <chartFormat chart="2" format="0"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3" count="1" selected="0">
            <x v="0"/>
          </reference>
        </references>
      </pivotArea>
    </chartFormat>
    <chartFormat chart="4" format="12">
      <pivotArea type="data" outline="0" fieldPosition="0">
        <references count="2">
          <reference field="4294967294" count="1" selected="0">
            <x v="0"/>
          </reference>
          <reference field="3" count="1" selected="0">
            <x v="1"/>
          </reference>
        </references>
      </pivotArea>
    </chartFormat>
    <chartFormat chart="4" format="13">
      <pivotArea type="data" outline="0" fieldPosition="0">
        <references count="2">
          <reference field="4294967294" count="1" selected="0">
            <x v="0"/>
          </reference>
          <reference field="3" count="1" selected="0">
            <x v="2"/>
          </reference>
        </references>
      </pivotArea>
    </chartFormat>
    <chartFormat chart="4" format="14">
      <pivotArea type="data" outline="0" fieldPosition="0">
        <references count="2">
          <reference field="4294967294" count="1" selected="0">
            <x v="0"/>
          </reference>
          <reference field="3" count="1" selected="0">
            <x v="3"/>
          </reference>
        </references>
      </pivotArea>
    </chartFormat>
    <chartFormat chart="4" format="15">
      <pivotArea type="data" outline="0" fieldPosition="0">
        <references count="2">
          <reference field="4294967294" count="1" selected="0">
            <x v="0"/>
          </reference>
          <reference field="3" count="1" selected="0">
            <x v="4"/>
          </reference>
        </references>
      </pivotArea>
    </chartFormat>
    <chartFormat chart="4" format="16">
      <pivotArea type="data" outline="0" fieldPosition="0">
        <references count="2">
          <reference field="4294967294" count="1" selected="0">
            <x v="0"/>
          </reference>
          <reference field="3" count="1" selected="0">
            <x v="5"/>
          </reference>
        </references>
      </pivotArea>
    </chartFormat>
    <chartFormat chart="4" format="17">
      <pivotArea type="data" outline="0" fieldPosition="0">
        <references count="2">
          <reference field="4294967294" count="1" selected="0">
            <x v="0"/>
          </reference>
          <reference field="3" count="1" selected="0">
            <x v="6"/>
          </reference>
        </references>
      </pivotArea>
    </chartFormat>
    <chartFormat chart="4" format="18">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5F068B-BB4E-4189-BAEB-CE31A0068B47}" name="TotalPurchas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G3:H12" firstHeaderRow="1" firstDataRow="1" firstDataCol="1"/>
  <pivotFields count="10">
    <pivotField showAll="0">
      <items count="1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t="default"/>
      </items>
    </pivotField>
    <pivotField showAll="0"/>
    <pivotField showAll="0"/>
    <pivotField axis="axisRow" showAll="0">
      <items count="9">
        <item x="0"/>
        <item x="7"/>
        <item x="4"/>
        <item x="3"/>
        <item x="6"/>
        <item x="1"/>
        <item x="5"/>
        <item x="2"/>
        <item t="default"/>
      </items>
    </pivotField>
    <pivotField showAll="0"/>
    <pivotField showAll="0"/>
    <pivotField dataField="1" showAll="0"/>
    <pivotField showAll="0"/>
    <pivotField showAll="0"/>
    <pivotField showAll="0"/>
  </pivotFields>
  <rowFields count="1">
    <field x="3"/>
  </rowFields>
  <rowItems count="9">
    <i>
      <x/>
    </i>
    <i>
      <x v="1"/>
    </i>
    <i>
      <x v="2"/>
    </i>
    <i>
      <x v="3"/>
    </i>
    <i>
      <x v="4"/>
    </i>
    <i>
      <x v="5"/>
    </i>
    <i>
      <x v="6"/>
    </i>
    <i>
      <x v="7"/>
    </i>
    <i t="grand">
      <x/>
    </i>
  </rowItems>
  <colItems count="1">
    <i/>
  </colItems>
  <dataFields count="1">
    <dataField name="Sum of Purchase Price" fld="6" baseField="0" baseItem="0"/>
  </dataFields>
  <chartFormats count="10">
    <chartFormat chart="2" format="0"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3" count="1" selected="0">
            <x v="0"/>
          </reference>
        </references>
      </pivotArea>
    </chartFormat>
    <chartFormat chart="4" format="12">
      <pivotArea type="data" outline="0" fieldPosition="0">
        <references count="2">
          <reference field="4294967294" count="1" selected="0">
            <x v="0"/>
          </reference>
          <reference field="3" count="1" selected="0">
            <x v="1"/>
          </reference>
        </references>
      </pivotArea>
    </chartFormat>
    <chartFormat chart="4" format="13">
      <pivotArea type="data" outline="0" fieldPosition="0">
        <references count="2">
          <reference field="4294967294" count="1" selected="0">
            <x v="0"/>
          </reference>
          <reference field="3" count="1" selected="0">
            <x v="2"/>
          </reference>
        </references>
      </pivotArea>
    </chartFormat>
    <chartFormat chart="4" format="14">
      <pivotArea type="data" outline="0" fieldPosition="0">
        <references count="2">
          <reference field="4294967294" count="1" selected="0">
            <x v="0"/>
          </reference>
          <reference field="3" count="1" selected="0">
            <x v="3"/>
          </reference>
        </references>
      </pivotArea>
    </chartFormat>
    <chartFormat chart="4" format="15">
      <pivotArea type="data" outline="0" fieldPosition="0">
        <references count="2">
          <reference field="4294967294" count="1" selected="0">
            <x v="0"/>
          </reference>
          <reference field="3" count="1" selected="0">
            <x v="4"/>
          </reference>
        </references>
      </pivotArea>
    </chartFormat>
    <chartFormat chart="4" format="16">
      <pivotArea type="data" outline="0" fieldPosition="0">
        <references count="2">
          <reference field="4294967294" count="1" selected="0">
            <x v="0"/>
          </reference>
          <reference field="3" count="1" selected="0">
            <x v="5"/>
          </reference>
        </references>
      </pivotArea>
    </chartFormat>
    <chartFormat chart="4" format="17">
      <pivotArea type="data" outline="0" fieldPosition="0">
        <references count="2">
          <reference field="4294967294" count="1" selected="0">
            <x v="0"/>
          </reference>
          <reference field="3" count="1" selected="0">
            <x v="6"/>
          </reference>
        </references>
      </pivotArea>
    </chartFormat>
    <chartFormat chart="4" format="18">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0CDBD6-3188-469F-8841-4AE30240CA9D}" name="TotalSal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A3:B12" firstHeaderRow="1" firstDataRow="1" firstDataCol="1"/>
  <pivotFields count="10">
    <pivotField showAll="0">
      <items count="1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t="default"/>
      </items>
    </pivotField>
    <pivotField showAll="0"/>
    <pivotField showAll="0"/>
    <pivotField axis="axisRow" showAll="0">
      <items count="9">
        <item x="0"/>
        <item x="7"/>
        <item x="4"/>
        <item x="3"/>
        <item x="6"/>
        <item x="1"/>
        <item x="5"/>
        <item x="2"/>
        <item t="default"/>
      </items>
    </pivotField>
    <pivotField showAll="0"/>
    <pivotField showAll="0"/>
    <pivotField showAll="0"/>
    <pivotField dataField="1" showAll="0"/>
    <pivotField showAll="0"/>
    <pivotField showAll="0"/>
  </pivotFields>
  <rowFields count="1">
    <field x="3"/>
  </rowFields>
  <rowItems count="9">
    <i>
      <x/>
    </i>
    <i>
      <x v="1"/>
    </i>
    <i>
      <x v="2"/>
    </i>
    <i>
      <x v="3"/>
    </i>
    <i>
      <x v="4"/>
    </i>
    <i>
      <x v="5"/>
    </i>
    <i>
      <x v="6"/>
    </i>
    <i>
      <x v="7"/>
    </i>
    <i t="grand">
      <x/>
    </i>
  </rowItems>
  <colItems count="1">
    <i/>
  </colItems>
  <dataFields count="1">
    <dataField name="Sum of Sale Price" fld="7" baseField="0" baseItem="0"/>
  </dataFields>
  <chartFormats count="10">
    <chartFormat chart="7" format="0" series="1">
      <pivotArea type="data" outline="0" fieldPosition="0">
        <references count="1">
          <reference field="4294967294" count="1" selected="0">
            <x v="0"/>
          </reference>
        </references>
      </pivotArea>
    </chartFormat>
    <chartFormat chart="12" format="10" series="1">
      <pivotArea type="data" outline="0" fieldPosition="0">
        <references count="1">
          <reference field="4294967294" count="1" selected="0">
            <x v="0"/>
          </reference>
        </references>
      </pivotArea>
    </chartFormat>
    <chartFormat chart="12" format="11">
      <pivotArea type="data" outline="0" fieldPosition="0">
        <references count="2">
          <reference field="4294967294" count="1" selected="0">
            <x v="0"/>
          </reference>
          <reference field="3" count="1" selected="0">
            <x v="0"/>
          </reference>
        </references>
      </pivotArea>
    </chartFormat>
    <chartFormat chart="12" format="12">
      <pivotArea type="data" outline="0" fieldPosition="0">
        <references count="2">
          <reference field="4294967294" count="1" selected="0">
            <x v="0"/>
          </reference>
          <reference field="3" count="1" selected="0">
            <x v="1"/>
          </reference>
        </references>
      </pivotArea>
    </chartFormat>
    <chartFormat chart="12" format="13">
      <pivotArea type="data" outline="0" fieldPosition="0">
        <references count="2">
          <reference field="4294967294" count="1" selected="0">
            <x v="0"/>
          </reference>
          <reference field="3" count="1" selected="0">
            <x v="2"/>
          </reference>
        </references>
      </pivotArea>
    </chartFormat>
    <chartFormat chart="12" format="14">
      <pivotArea type="data" outline="0" fieldPosition="0">
        <references count="2">
          <reference field="4294967294" count="1" selected="0">
            <x v="0"/>
          </reference>
          <reference field="3" count="1" selected="0">
            <x v="3"/>
          </reference>
        </references>
      </pivotArea>
    </chartFormat>
    <chartFormat chart="12" format="15">
      <pivotArea type="data" outline="0" fieldPosition="0">
        <references count="2">
          <reference field="4294967294" count="1" selected="0">
            <x v="0"/>
          </reference>
          <reference field="3" count="1" selected="0">
            <x v="4"/>
          </reference>
        </references>
      </pivotArea>
    </chartFormat>
    <chartFormat chart="12" format="16">
      <pivotArea type="data" outline="0" fieldPosition="0">
        <references count="2">
          <reference field="4294967294" count="1" selected="0">
            <x v="0"/>
          </reference>
          <reference field="3" count="1" selected="0">
            <x v="5"/>
          </reference>
        </references>
      </pivotArea>
    </chartFormat>
    <chartFormat chart="12" format="17">
      <pivotArea type="data" outline="0" fieldPosition="0">
        <references count="2">
          <reference field="4294967294" count="1" selected="0">
            <x v="0"/>
          </reference>
          <reference field="3" count="1" selected="0">
            <x v="6"/>
          </reference>
        </references>
      </pivotArea>
    </chartFormat>
    <chartFormat chart="12" format="18">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ID" xr10:uid="{7ECC7E53-94CC-4A33-9E37-63E28F56685B}" sourceName="Order ID">
  <pivotTables>
    <pivotTable tabId="2" name="TotalSale"/>
    <pivotTable tabId="2" name="TotalPurchase"/>
    <pivotTable tabId="2" name="Totalprofit"/>
    <pivotTable tabId="2" name="Totalquantity"/>
    <pivotTable tabId="2" name="PivotTable7"/>
    <pivotTable tabId="2" name="PivotTable8"/>
  </pivotTables>
  <data>
    <tabular pivotCacheId="285704676">
      <items count="135">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ID" xr10:uid="{2652D8CE-5606-4833-88BF-1CDBB7CE8875}" cache="Slicer_Order_ID" caption="Order I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ID 1" xr10:uid="{6B0DAFD7-1AE6-44E1-9EBF-46CC993602C1}" cache="Slicer_Order_ID" caption="Order ID" style="SlicerStyleDark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83FBF-5AE7-4120-A743-EF32BEF51AE9}">
  <dimension ref="A2:N30"/>
  <sheetViews>
    <sheetView workbookViewId="0"/>
  </sheetViews>
  <sheetFormatPr defaultRowHeight="15" x14ac:dyDescent="0.25"/>
  <cols>
    <col min="1" max="1" width="13.140625" bestFit="1" customWidth="1"/>
    <col min="2" max="2" width="12.5703125" bestFit="1" customWidth="1"/>
    <col min="3" max="3" width="16.28515625" customWidth="1"/>
    <col min="4" max="4" width="17.85546875" bestFit="1" customWidth="1"/>
    <col min="5" max="5" width="12.5703125" bestFit="1" customWidth="1"/>
    <col min="6" max="6" width="15.42578125" bestFit="1" customWidth="1"/>
    <col min="7" max="7" width="17.85546875" bestFit="1" customWidth="1"/>
    <col min="8" max="8" width="20.7109375" bestFit="1" customWidth="1"/>
    <col min="9" max="9" width="15.42578125" bestFit="1" customWidth="1"/>
    <col min="10" max="10" width="17.85546875" bestFit="1" customWidth="1"/>
    <col min="11" max="11" width="12.5703125" bestFit="1" customWidth="1"/>
    <col min="12" max="12" width="15.42578125" bestFit="1" customWidth="1"/>
    <col min="13" max="13" width="17.85546875" bestFit="1" customWidth="1"/>
    <col min="14" max="14" width="12.5703125" bestFit="1" customWidth="1"/>
  </cols>
  <sheetData>
    <row r="2" spans="1:14" x14ac:dyDescent="0.25">
      <c r="A2">
        <f>GETPIVOTDATA("Sale Price",$A$3)</f>
        <v>205425</v>
      </c>
      <c r="E2">
        <f>GETPIVOTDATA("Quantity",$D$3)</f>
        <v>477</v>
      </c>
      <c r="H2">
        <f>GETPIVOTDATA("Purchase Price",$G$3)</f>
        <v>146280</v>
      </c>
      <c r="K2">
        <f>GETPIVOTDATA("Profit",$J$3)</f>
        <v>205718</v>
      </c>
    </row>
    <row r="3" spans="1:14" x14ac:dyDescent="0.25">
      <c r="A3" s="7" t="s">
        <v>110</v>
      </c>
      <c r="B3" t="s">
        <v>107</v>
      </c>
      <c r="D3" s="7" t="s">
        <v>110</v>
      </c>
      <c r="E3" t="s">
        <v>112</v>
      </c>
      <c r="G3" s="7" t="s">
        <v>110</v>
      </c>
      <c r="H3" t="s">
        <v>108</v>
      </c>
      <c r="J3" s="7" t="s">
        <v>110</v>
      </c>
      <c r="K3" t="s">
        <v>109</v>
      </c>
      <c r="M3" s="6" t="s">
        <v>110</v>
      </c>
      <c r="N3" s="6" t="s">
        <v>109</v>
      </c>
    </row>
    <row r="4" spans="1:14" x14ac:dyDescent="0.25">
      <c r="A4" s="8" t="s">
        <v>9</v>
      </c>
      <c r="B4" s="5">
        <v>24869</v>
      </c>
      <c r="C4" s="5"/>
      <c r="D4" s="8" t="s">
        <v>9</v>
      </c>
      <c r="E4" s="5">
        <v>58</v>
      </c>
      <c r="G4" s="8" t="s">
        <v>9</v>
      </c>
      <c r="H4" s="5">
        <v>16933</v>
      </c>
      <c r="J4" s="8" t="s">
        <v>9</v>
      </c>
      <c r="K4" s="5">
        <v>25864</v>
      </c>
      <c r="M4" s="8" t="s">
        <v>9</v>
      </c>
      <c r="N4">
        <f>GETPIVOTDATA("Profit",$J$3,"Product Name",M4)</f>
        <v>25864</v>
      </c>
    </row>
    <row r="5" spans="1:14" x14ac:dyDescent="0.25">
      <c r="A5" s="8" t="s">
        <v>22</v>
      </c>
      <c r="B5" s="5">
        <v>14006</v>
      </c>
      <c r="C5" s="10"/>
      <c r="D5" s="8" t="s">
        <v>22</v>
      </c>
      <c r="E5" s="5">
        <v>29</v>
      </c>
      <c r="G5" s="8" t="s">
        <v>22</v>
      </c>
      <c r="H5" s="5">
        <v>10296</v>
      </c>
      <c r="J5" s="8" t="s">
        <v>22</v>
      </c>
      <c r="K5" s="5">
        <v>11047</v>
      </c>
      <c r="M5" s="8" t="s">
        <v>22</v>
      </c>
      <c r="N5">
        <f t="shared" ref="N5:N11" si="0">GETPIVOTDATA("Profit",$J$3,"Product Name",M5)</f>
        <v>11047</v>
      </c>
    </row>
    <row r="6" spans="1:14" x14ac:dyDescent="0.25">
      <c r="A6" s="8" t="s">
        <v>16</v>
      </c>
      <c r="B6" s="5">
        <v>29266</v>
      </c>
      <c r="C6" s="5"/>
      <c r="D6" s="8" t="s">
        <v>16</v>
      </c>
      <c r="E6" s="5">
        <v>48</v>
      </c>
      <c r="G6" s="8" t="s">
        <v>16</v>
      </c>
      <c r="H6" s="5">
        <v>23060</v>
      </c>
      <c r="J6" s="8" t="s">
        <v>16</v>
      </c>
      <c r="K6" s="5">
        <v>18158</v>
      </c>
      <c r="M6" s="8" t="s">
        <v>16</v>
      </c>
      <c r="N6">
        <f t="shared" si="0"/>
        <v>18158</v>
      </c>
    </row>
    <row r="7" spans="1:14" x14ac:dyDescent="0.25">
      <c r="A7" s="8" t="s">
        <v>14</v>
      </c>
      <c r="B7" s="5">
        <v>21864</v>
      </c>
      <c r="C7" s="5"/>
      <c r="D7" s="8" t="s">
        <v>14</v>
      </c>
      <c r="E7" s="5">
        <v>62</v>
      </c>
      <c r="G7" s="8" t="s">
        <v>14</v>
      </c>
      <c r="H7" s="5">
        <v>15063</v>
      </c>
      <c r="J7" s="8" t="s">
        <v>14</v>
      </c>
      <c r="K7" s="5">
        <v>24714</v>
      </c>
      <c r="M7" s="8" t="s">
        <v>14</v>
      </c>
      <c r="N7">
        <f t="shared" si="0"/>
        <v>24714</v>
      </c>
    </row>
    <row r="8" spans="1:14" x14ac:dyDescent="0.25">
      <c r="A8" s="8" t="s">
        <v>20</v>
      </c>
      <c r="B8" s="5">
        <v>24293</v>
      </c>
      <c r="C8" s="5"/>
      <c r="D8" s="8" t="s">
        <v>20</v>
      </c>
      <c r="E8" s="5">
        <v>48</v>
      </c>
      <c r="G8" s="8" t="s">
        <v>20</v>
      </c>
      <c r="H8" s="5">
        <v>17938</v>
      </c>
      <c r="J8" s="8" t="s">
        <v>20</v>
      </c>
      <c r="K8" s="5">
        <v>19416</v>
      </c>
      <c r="M8" s="8" t="s">
        <v>20</v>
      </c>
      <c r="N8">
        <f t="shared" si="0"/>
        <v>19416</v>
      </c>
    </row>
    <row r="9" spans="1:14" x14ac:dyDescent="0.25">
      <c r="A9" s="8" t="s">
        <v>11</v>
      </c>
      <c r="B9" s="5">
        <v>40575</v>
      </c>
      <c r="C9" s="5"/>
      <c r="D9" s="8" t="s">
        <v>11</v>
      </c>
      <c r="E9" s="5">
        <v>111</v>
      </c>
      <c r="G9" s="8" t="s">
        <v>11</v>
      </c>
      <c r="H9" s="5">
        <v>28146</v>
      </c>
      <c r="J9" s="8" t="s">
        <v>11</v>
      </c>
      <c r="K9" s="5">
        <v>52444</v>
      </c>
      <c r="M9" s="8" t="s">
        <v>11</v>
      </c>
      <c r="N9">
        <f t="shared" si="0"/>
        <v>52444</v>
      </c>
    </row>
    <row r="10" spans="1:14" x14ac:dyDescent="0.25">
      <c r="A10" s="8" t="s">
        <v>18</v>
      </c>
      <c r="B10" s="5">
        <v>20727</v>
      </c>
      <c r="C10" s="5"/>
      <c r="D10" s="8" t="s">
        <v>18</v>
      </c>
      <c r="E10" s="5">
        <v>55</v>
      </c>
      <c r="G10" s="8" t="s">
        <v>18</v>
      </c>
      <c r="H10" s="5">
        <v>13644</v>
      </c>
      <c r="J10" s="8" t="s">
        <v>18</v>
      </c>
      <c r="K10" s="5">
        <v>24663</v>
      </c>
      <c r="M10" s="8" t="s">
        <v>18</v>
      </c>
      <c r="N10">
        <f t="shared" si="0"/>
        <v>24663</v>
      </c>
    </row>
    <row r="11" spans="1:14" x14ac:dyDescent="0.25">
      <c r="A11" s="8" t="s">
        <v>13</v>
      </c>
      <c r="B11" s="5">
        <v>29825</v>
      </c>
      <c r="D11" s="8" t="s">
        <v>13</v>
      </c>
      <c r="E11" s="5">
        <v>66</v>
      </c>
      <c r="G11" s="8" t="s">
        <v>13</v>
      </c>
      <c r="H11" s="5">
        <v>21200</v>
      </c>
      <c r="J11" s="8" t="s">
        <v>13</v>
      </c>
      <c r="K11" s="5">
        <v>29412</v>
      </c>
      <c r="M11" s="8" t="s">
        <v>13</v>
      </c>
      <c r="N11">
        <f t="shared" si="0"/>
        <v>29412</v>
      </c>
    </row>
    <row r="12" spans="1:14" x14ac:dyDescent="0.25">
      <c r="A12" s="8" t="s">
        <v>111</v>
      </c>
      <c r="B12" s="5">
        <v>205425</v>
      </c>
      <c r="D12" s="8" t="s">
        <v>111</v>
      </c>
      <c r="E12" s="5">
        <v>477</v>
      </c>
      <c r="G12" s="8" t="s">
        <v>111</v>
      </c>
      <c r="H12" s="5">
        <v>146280</v>
      </c>
      <c r="J12" s="8" t="s">
        <v>111</v>
      </c>
      <c r="K12" s="5">
        <v>205718</v>
      </c>
    </row>
    <row r="20" spans="1:12" x14ac:dyDescent="0.25">
      <c r="L20">
        <v>0</v>
      </c>
    </row>
    <row r="21" spans="1:12" x14ac:dyDescent="0.25">
      <c r="A21" s="7" t="s">
        <v>110</v>
      </c>
      <c r="B21" t="s">
        <v>109</v>
      </c>
      <c r="D21" s="7" t="s">
        <v>110</v>
      </c>
      <c r="E21" t="s">
        <v>109</v>
      </c>
    </row>
    <row r="22" spans="1:12" x14ac:dyDescent="0.25">
      <c r="A22" s="8" t="s">
        <v>116</v>
      </c>
      <c r="B22" s="5">
        <v>71018</v>
      </c>
      <c r="D22" s="8" t="s">
        <v>9</v>
      </c>
      <c r="E22" s="5">
        <v>25864</v>
      </c>
    </row>
    <row r="23" spans="1:12" x14ac:dyDescent="0.25">
      <c r="A23" s="8" t="s">
        <v>117</v>
      </c>
      <c r="B23" s="5">
        <v>37149</v>
      </c>
      <c r="D23" s="8" t="s">
        <v>22</v>
      </c>
      <c r="E23" s="5">
        <v>11047</v>
      </c>
    </row>
    <row r="24" spans="1:12" x14ac:dyDescent="0.25">
      <c r="A24" s="8" t="s">
        <v>115</v>
      </c>
      <c r="B24" s="5">
        <v>49844</v>
      </c>
      <c r="D24" s="8" t="s">
        <v>16</v>
      </c>
      <c r="E24" s="5">
        <v>18158</v>
      </c>
    </row>
    <row r="25" spans="1:12" x14ac:dyDescent="0.25">
      <c r="A25" s="8" t="s">
        <v>114</v>
      </c>
      <c r="B25" s="5">
        <v>44797</v>
      </c>
      <c r="D25" s="8" t="s">
        <v>14</v>
      </c>
      <c r="E25" s="5">
        <v>24714</v>
      </c>
    </row>
    <row r="26" spans="1:12" x14ac:dyDescent="0.25">
      <c r="A26" s="8" t="s">
        <v>118</v>
      </c>
      <c r="B26" s="5">
        <v>2910</v>
      </c>
      <c r="D26" s="8" t="s">
        <v>20</v>
      </c>
      <c r="E26" s="5">
        <v>19416</v>
      </c>
    </row>
    <row r="27" spans="1:12" x14ac:dyDescent="0.25">
      <c r="A27" s="8" t="s">
        <v>111</v>
      </c>
      <c r="B27" s="5">
        <v>205718</v>
      </c>
      <c r="D27" s="8" t="s">
        <v>11</v>
      </c>
      <c r="E27" s="5">
        <v>52444</v>
      </c>
    </row>
    <row r="28" spans="1:12" x14ac:dyDescent="0.25">
      <c r="D28" s="8" t="s">
        <v>18</v>
      </c>
      <c r="E28" s="5">
        <v>24663</v>
      </c>
    </row>
    <row r="29" spans="1:12" x14ac:dyDescent="0.25">
      <c r="D29" s="8" t="s">
        <v>13</v>
      </c>
      <c r="E29" s="5">
        <v>29412</v>
      </c>
    </row>
    <row r="30" spans="1:12" x14ac:dyDescent="0.25">
      <c r="D30" s="8" t="s">
        <v>111</v>
      </c>
      <c r="E30" s="5">
        <v>205718</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9"/>
  <sheetViews>
    <sheetView workbookViewId="0"/>
  </sheetViews>
  <sheetFormatPr defaultColWidth="8.28515625" defaultRowHeight="15" x14ac:dyDescent="0.25"/>
  <cols>
    <col min="1" max="1" width="10.7109375" bestFit="1" customWidth="1"/>
    <col min="2" max="2" width="11.5703125" style="3" bestFit="1" customWidth="1"/>
    <col min="3" max="3" width="11.5703125" style="3" customWidth="1"/>
    <col min="4" max="4" width="17.85546875" bestFit="1" customWidth="1"/>
    <col min="5" max="5" width="15.42578125" bestFit="1" customWidth="1"/>
    <col min="6" max="6" width="11" bestFit="1" customWidth="1"/>
    <col min="7" max="7" width="16.28515625" bestFit="1" customWidth="1"/>
    <col min="8" max="8" width="11.85546875" bestFit="1" customWidth="1"/>
    <col min="9" max="9" width="11.140625" bestFit="1" customWidth="1"/>
    <col min="10" max="10" width="8.28515625" bestFit="1" customWidth="1"/>
  </cols>
  <sheetData>
    <row r="1" spans="1:10" x14ac:dyDescent="0.25">
      <c r="A1" s="1" t="s">
        <v>0</v>
      </c>
      <c r="B1" s="2" t="s">
        <v>1</v>
      </c>
      <c r="C1" s="12" t="s">
        <v>113</v>
      </c>
      <c r="D1" s="9" t="s">
        <v>2</v>
      </c>
      <c r="E1" s="9" t="s">
        <v>3</v>
      </c>
      <c r="F1" s="9" t="s">
        <v>6</v>
      </c>
      <c r="G1" s="9" t="s">
        <v>4</v>
      </c>
      <c r="H1" s="9" t="s">
        <v>5</v>
      </c>
      <c r="I1" s="1" t="s">
        <v>7</v>
      </c>
      <c r="J1" s="9" t="s">
        <v>8</v>
      </c>
    </row>
    <row r="2" spans="1:10" x14ac:dyDescent="0.25">
      <c r="A2">
        <v>1001</v>
      </c>
      <c r="B2" s="4" t="s">
        <v>23</v>
      </c>
      <c r="C2" s="4" t="s">
        <v>114</v>
      </c>
      <c r="D2" t="s">
        <v>9</v>
      </c>
      <c r="E2" t="s">
        <v>10</v>
      </c>
      <c r="F2">
        <v>2</v>
      </c>
      <c r="G2">
        <v>1597</v>
      </c>
      <c r="H2">
        <v>2201</v>
      </c>
      <c r="I2">
        <v>4402</v>
      </c>
      <c r="J2">
        <v>1208</v>
      </c>
    </row>
    <row r="3" spans="1:10" x14ac:dyDescent="0.25">
      <c r="A3">
        <v>1002</v>
      </c>
      <c r="B3" s="4" t="s">
        <v>24</v>
      </c>
      <c r="C3" s="4" t="s">
        <v>115</v>
      </c>
      <c r="D3" t="s">
        <v>11</v>
      </c>
      <c r="E3" t="s">
        <v>12</v>
      </c>
      <c r="F3">
        <v>1</v>
      </c>
      <c r="G3">
        <v>129</v>
      </c>
      <c r="H3">
        <v>922</v>
      </c>
      <c r="I3">
        <v>922</v>
      </c>
      <c r="J3">
        <v>793</v>
      </c>
    </row>
    <row r="4" spans="1:10" x14ac:dyDescent="0.25">
      <c r="A4">
        <v>1003</v>
      </c>
      <c r="B4" s="4" t="s">
        <v>25</v>
      </c>
      <c r="C4" s="4" t="s">
        <v>115</v>
      </c>
      <c r="D4" t="s">
        <v>13</v>
      </c>
      <c r="E4" t="s">
        <v>10</v>
      </c>
      <c r="F4">
        <v>6</v>
      </c>
      <c r="G4">
        <v>501</v>
      </c>
      <c r="H4">
        <v>806</v>
      </c>
      <c r="I4">
        <v>4836</v>
      </c>
      <c r="J4">
        <v>1830</v>
      </c>
    </row>
    <row r="5" spans="1:10" x14ac:dyDescent="0.25">
      <c r="A5">
        <v>1004</v>
      </c>
      <c r="B5" s="4" t="s">
        <v>26</v>
      </c>
      <c r="C5" s="4" t="s">
        <v>116</v>
      </c>
      <c r="D5" t="s">
        <v>11</v>
      </c>
      <c r="E5" t="s">
        <v>12</v>
      </c>
      <c r="F5">
        <v>5</v>
      </c>
      <c r="G5">
        <v>556</v>
      </c>
      <c r="H5">
        <v>849</v>
      </c>
      <c r="I5">
        <v>4245</v>
      </c>
      <c r="J5">
        <v>1465</v>
      </c>
    </row>
    <row r="6" spans="1:10" x14ac:dyDescent="0.25">
      <c r="A6">
        <v>1005</v>
      </c>
      <c r="B6" s="4" t="s">
        <v>27</v>
      </c>
      <c r="C6" s="4" t="s">
        <v>114</v>
      </c>
      <c r="D6" t="s">
        <v>14</v>
      </c>
      <c r="E6" t="s">
        <v>15</v>
      </c>
      <c r="F6">
        <v>1</v>
      </c>
      <c r="G6">
        <v>607</v>
      </c>
      <c r="H6">
        <v>806</v>
      </c>
      <c r="I6">
        <v>806</v>
      </c>
      <c r="J6">
        <v>199</v>
      </c>
    </row>
    <row r="7" spans="1:10" x14ac:dyDescent="0.25">
      <c r="A7">
        <v>1006</v>
      </c>
      <c r="B7" s="4" t="s">
        <v>28</v>
      </c>
      <c r="C7" s="4" t="s">
        <v>116</v>
      </c>
      <c r="D7" t="s">
        <v>16</v>
      </c>
      <c r="E7" t="s">
        <v>17</v>
      </c>
      <c r="F7">
        <v>5</v>
      </c>
      <c r="G7">
        <v>930</v>
      </c>
      <c r="H7">
        <v>1184</v>
      </c>
      <c r="I7">
        <v>5920</v>
      </c>
      <c r="J7">
        <v>1270</v>
      </c>
    </row>
    <row r="8" spans="1:10" x14ac:dyDescent="0.25">
      <c r="A8">
        <v>1007</v>
      </c>
      <c r="B8" s="4" t="s">
        <v>29</v>
      </c>
      <c r="C8" s="4" t="s">
        <v>117</v>
      </c>
      <c r="D8" t="s">
        <v>13</v>
      </c>
      <c r="E8" t="s">
        <v>10</v>
      </c>
      <c r="F8">
        <v>4</v>
      </c>
      <c r="G8">
        <v>609</v>
      </c>
      <c r="H8">
        <v>768</v>
      </c>
      <c r="I8">
        <v>3072</v>
      </c>
      <c r="J8">
        <v>636</v>
      </c>
    </row>
    <row r="9" spans="1:10" x14ac:dyDescent="0.25">
      <c r="A9">
        <v>1008</v>
      </c>
      <c r="B9" s="4" t="s">
        <v>30</v>
      </c>
      <c r="C9" s="4" t="s">
        <v>117</v>
      </c>
      <c r="D9" t="s">
        <v>18</v>
      </c>
      <c r="E9" t="s">
        <v>19</v>
      </c>
      <c r="F9">
        <v>1</v>
      </c>
      <c r="G9">
        <v>1391</v>
      </c>
      <c r="H9">
        <v>1977</v>
      </c>
      <c r="I9">
        <v>1977</v>
      </c>
      <c r="J9">
        <v>586</v>
      </c>
    </row>
    <row r="10" spans="1:10" x14ac:dyDescent="0.25">
      <c r="A10">
        <v>1009</v>
      </c>
      <c r="B10" s="4" t="s">
        <v>31</v>
      </c>
      <c r="C10" s="4" t="s">
        <v>116</v>
      </c>
      <c r="D10" t="s">
        <v>20</v>
      </c>
      <c r="E10" t="s">
        <v>21</v>
      </c>
      <c r="F10">
        <v>2</v>
      </c>
      <c r="G10">
        <v>476</v>
      </c>
      <c r="H10">
        <v>803</v>
      </c>
      <c r="I10">
        <v>1606</v>
      </c>
      <c r="J10">
        <v>654</v>
      </c>
    </row>
    <row r="11" spans="1:10" x14ac:dyDescent="0.25">
      <c r="A11">
        <v>1010</v>
      </c>
      <c r="B11" s="4" t="s">
        <v>32</v>
      </c>
      <c r="C11" s="4" t="s">
        <v>114</v>
      </c>
      <c r="D11" t="s">
        <v>20</v>
      </c>
      <c r="E11" t="s">
        <v>21</v>
      </c>
      <c r="F11">
        <v>3</v>
      </c>
      <c r="G11">
        <v>724</v>
      </c>
      <c r="H11">
        <v>1199</v>
      </c>
      <c r="I11">
        <v>3597</v>
      </c>
      <c r="J11">
        <v>1425</v>
      </c>
    </row>
    <row r="12" spans="1:10" x14ac:dyDescent="0.25">
      <c r="A12">
        <v>1011</v>
      </c>
      <c r="B12" s="4" t="s">
        <v>33</v>
      </c>
      <c r="C12" s="4" t="s">
        <v>116</v>
      </c>
      <c r="D12" t="s">
        <v>13</v>
      </c>
      <c r="E12" t="s">
        <v>10</v>
      </c>
      <c r="F12">
        <v>2</v>
      </c>
      <c r="G12">
        <v>1183</v>
      </c>
      <c r="H12">
        <v>1407</v>
      </c>
      <c r="I12">
        <v>2814</v>
      </c>
      <c r="J12">
        <v>448</v>
      </c>
    </row>
    <row r="13" spans="1:10" x14ac:dyDescent="0.25">
      <c r="A13">
        <v>1012</v>
      </c>
      <c r="B13" s="4" t="s">
        <v>34</v>
      </c>
      <c r="C13" s="4" t="s">
        <v>115</v>
      </c>
      <c r="D13" t="s">
        <v>16</v>
      </c>
      <c r="E13" t="s">
        <v>17</v>
      </c>
      <c r="F13">
        <v>1</v>
      </c>
      <c r="G13">
        <v>1809</v>
      </c>
      <c r="H13">
        <v>2476</v>
      </c>
      <c r="I13">
        <v>2476</v>
      </c>
      <c r="J13">
        <v>667</v>
      </c>
    </row>
    <row r="14" spans="1:10" x14ac:dyDescent="0.25">
      <c r="A14">
        <v>1013</v>
      </c>
      <c r="B14" s="4" t="s">
        <v>34</v>
      </c>
      <c r="C14" s="4" t="s">
        <v>115</v>
      </c>
      <c r="D14" t="s">
        <v>14</v>
      </c>
      <c r="E14" t="s">
        <v>15</v>
      </c>
      <c r="F14">
        <v>3</v>
      </c>
      <c r="G14">
        <v>1326</v>
      </c>
      <c r="H14">
        <v>1504</v>
      </c>
      <c r="I14">
        <v>4512</v>
      </c>
      <c r="J14">
        <v>534</v>
      </c>
    </row>
    <row r="15" spans="1:10" x14ac:dyDescent="0.25">
      <c r="A15">
        <v>1014</v>
      </c>
      <c r="B15" s="4" t="s">
        <v>35</v>
      </c>
      <c r="C15" s="4" t="s">
        <v>117</v>
      </c>
      <c r="D15" t="s">
        <v>14</v>
      </c>
      <c r="E15" t="s">
        <v>15</v>
      </c>
      <c r="F15">
        <v>4</v>
      </c>
      <c r="G15">
        <v>573</v>
      </c>
      <c r="H15">
        <v>1034</v>
      </c>
      <c r="I15">
        <v>4136</v>
      </c>
      <c r="J15">
        <v>1844</v>
      </c>
    </row>
    <row r="16" spans="1:10" x14ac:dyDescent="0.25">
      <c r="A16">
        <v>1015</v>
      </c>
      <c r="B16" s="4" t="s">
        <v>36</v>
      </c>
      <c r="C16" s="4" t="s">
        <v>117</v>
      </c>
      <c r="D16" t="s">
        <v>9</v>
      </c>
      <c r="E16" t="s">
        <v>10</v>
      </c>
      <c r="F16">
        <v>2</v>
      </c>
      <c r="G16">
        <v>610</v>
      </c>
      <c r="H16">
        <v>989</v>
      </c>
      <c r="I16">
        <v>1978</v>
      </c>
      <c r="J16">
        <v>758</v>
      </c>
    </row>
    <row r="17" spans="1:10" x14ac:dyDescent="0.25">
      <c r="A17">
        <v>1016</v>
      </c>
      <c r="B17" s="4" t="s">
        <v>37</v>
      </c>
      <c r="C17" s="4" t="s">
        <v>115</v>
      </c>
      <c r="D17" t="s">
        <v>13</v>
      </c>
      <c r="E17" t="s">
        <v>10</v>
      </c>
      <c r="F17">
        <v>4</v>
      </c>
      <c r="G17">
        <v>208</v>
      </c>
      <c r="H17">
        <v>748</v>
      </c>
      <c r="I17">
        <v>2992</v>
      </c>
      <c r="J17">
        <v>2160</v>
      </c>
    </row>
    <row r="18" spans="1:10" x14ac:dyDescent="0.25">
      <c r="A18">
        <v>1017</v>
      </c>
      <c r="B18" s="4" t="s">
        <v>38</v>
      </c>
      <c r="C18" s="4" t="s">
        <v>115</v>
      </c>
      <c r="D18" t="s">
        <v>11</v>
      </c>
      <c r="E18" t="s">
        <v>12</v>
      </c>
      <c r="F18">
        <v>6</v>
      </c>
      <c r="G18">
        <v>303</v>
      </c>
      <c r="H18">
        <v>1086</v>
      </c>
      <c r="I18">
        <v>6516</v>
      </c>
      <c r="J18">
        <v>4698</v>
      </c>
    </row>
    <row r="19" spans="1:10" x14ac:dyDescent="0.25">
      <c r="A19">
        <v>1018</v>
      </c>
      <c r="B19" s="4" t="s">
        <v>39</v>
      </c>
      <c r="C19" s="4" t="s">
        <v>115</v>
      </c>
      <c r="D19" t="s">
        <v>16</v>
      </c>
      <c r="E19" t="s">
        <v>17</v>
      </c>
      <c r="F19">
        <v>1</v>
      </c>
      <c r="G19">
        <v>1979</v>
      </c>
      <c r="H19">
        <v>2548</v>
      </c>
      <c r="I19">
        <v>2548</v>
      </c>
      <c r="J19">
        <v>569</v>
      </c>
    </row>
    <row r="20" spans="1:10" x14ac:dyDescent="0.25">
      <c r="A20">
        <v>1019</v>
      </c>
      <c r="B20" s="4" t="s">
        <v>40</v>
      </c>
      <c r="C20" s="4" t="s">
        <v>114</v>
      </c>
      <c r="D20" t="s">
        <v>18</v>
      </c>
      <c r="E20" t="s">
        <v>19</v>
      </c>
      <c r="F20">
        <v>3</v>
      </c>
      <c r="G20">
        <v>1127</v>
      </c>
      <c r="H20">
        <v>1763</v>
      </c>
      <c r="I20">
        <v>5289</v>
      </c>
      <c r="J20">
        <v>1908</v>
      </c>
    </row>
    <row r="21" spans="1:10" x14ac:dyDescent="0.25">
      <c r="A21">
        <v>1020</v>
      </c>
      <c r="B21" s="4" t="s">
        <v>41</v>
      </c>
      <c r="C21" s="4" t="s">
        <v>117</v>
      </c>
      <c r="D21" t="s">
        <v>14</v>
      </c>
      <c r="E21" t="s">
        <v>15</v>
      </c>
      <c r="F21">
        <v>1</v>
      </c>
      <c r="G21">
        <v>120</v>
      </c>
      <c r="H21">
        <v>240</v>
      </c>
      <c r="I21">
        <v>240</v>
      </c>
      <c r="J21">
        <v>120</v>
      </c>
    </row>
    <row r="22" spans="1:10" x14ac:dyDescent="0.25">
      <c r="A22">
        <v>1021</v>
      </c>
      <c r="B22" s="4" t="s">
        <v>42</v>
      </c>
      <c r="C22" s="4" t="s">
        <v>115</v>
      </c>
      <c r="D22" t="s">
        <v>11</v>
      </c>
      <c r="E22" t="s">
        <v>12</v>
      </c>
      <c r="F22">
        <v>3</v>
      </c>
      <c r="G22">
        <v>1224</v>
      </c>
      <c r="H22">
        <v>1502</v>
      </c>
      <c r="I22">
        <v>4506</v>
      </c>
      <c r="J22">
        <v>834</v>
      </c>
    </row>
    <row r="23" spans="1:10" x14ac:dyDescent="0.25">
      <c r="A23">
        <v>1022</v>
      </c>
      <c r="B23" s="4" t="s">
        <v>43</v>
      </c>
      <c r="C23" s="4" t="s">
        <v>115</v>
      </c>
      <c r="D23" t="s">
        <v>13</v>
      </c>
      <c r="E23" t="s">
        <v>10</v>
      </c>
      <c r="F23">
        <v>1</v>
      </c>
      <c r="G23">
        <v>1050</v>
      </c>
      <c r="H23">
        <v>1257</v>
      </c>
      <c r="I23">
        <v>1257</v>
      </c>
      <c r="J23">
        <v>207</v>
      </c>
    </row>
    <row r="24" spans="1:10" x14ac:dyDescent="0.25">
      <c r="A24">
        <v>1023</v>
      </c>
      <c r="B24" s="4" t="s">
        <v>44</v>
      </c>
      <c r="C24" s="4" t="s">
        <v>114</v>
      </c>
      <c r="D24" t="s">
        <v>20</v>
      </c>
      <c r="E24" t="s">
        <v>21</v>
      </c>
      <c r="F24">
        <v>5</v>
      </c>
      <c r="G24">
        <v>1856</v>
      </c>
      <c r="H24">
        <v>2302</v>
      </c>
      <c r="I24">
        <v>11510</v>
      </c>
      <c r="J24">
        <v>2230</v>
      </c>
    </row>
    <row r="25" spans="1:10" x14ac:dyDescent="0.25">
      <c r="A25">
        <v>1024</v>
      </c>
      <c r="B25" s="4" t="s">
        <v>45</v>
      </c>
      <c r="C25" s="4" t="s">
        <v>115</v>
      </c>
      <c r="D25" t="s">
        <v>20</v>
      </c>
      <c r="E25" t="s">
        <v>21</v>
      </c>
      <c r="F25">
        <v>6</v>
      </c>
      <c r="G25">
        <v>1106</v>
      </c>
      <c r="H25">
        <v>1347</v>
      </c>
      <c r="I25">
        <v>8082</v>
      </c>
      <c r="J25">
        <v>1446</v>
      </c>
    </row>
    <row r="26" spans="1:10" x14ac:dyDescent="0.25">
      <c r="A26">
        <v>1025</v>
      </c>
      <c r="B26" s="4" t="s">
        <v>46</v>
      </c>
      <c r="C26" s="4" t="s">
        <v>116</v>
      </c>
      <c r="D26" t="s">
        <v>20</v>
      </c>
      <c r="E26" t="s">
        <v>21</v>
      </c>
      <c r="F26">
        <v>4</v>
      </c>
      <c r="G26">
        <v>1544</v>
      </c>
      <c r="H26">
        <v>2077</v>
      </c>
      <c r="I26">
        <v>8308</v>
      </c>
      <c r="J26">
        <v>2132</v>
      </c>
    </row>
    <row r="27" spans="1:10" x14ac:dyDescent="0.25">
      <c r="A27">
        <v>1026</v>
      </c>
      <c r="B27" s="4" t="s">
        <v>45</v>
      </c>
      <c r="C27" s="4" t="s">
        <v>115</v>
      </c>
      <c r="D27" t="s">
        <v>22</v>
      </c>
      <c r="E27" t="s">
        <v>17</v>
      </c>
      <c r="F27">
        <v>2</v>
      </c>
      <c r="G27">
        <v>1351</v>
      </c>
      <c r="H27">
        <v>1663</v>
      </c>
      <c r="I27">
        <v>3326</v>
      </c>
      <c r="J27">
        <v>624</v>
      </c>
    </row>
    <row r="28" spans="1:10" x14ac:dyDescent="0.25">
      <c r="A28">
        <v>1027</v>
      </c>
      <c r="B28" s="4" t="s">
        <v>38</v>
      </c>
      <c r="C28" s="4" t="s">
        <v>115</v>
      </c>
      <c r="D28" t="s">
        <v>9</v>
      </c>
      <c r="E28" t="s">
        <v>10</v>
      </c>
      <c r="F28">
        <v>4</v>
      </c>
      <c r="G28">
        <v>1042</v>
      </c>
      <c r="H28">
        <v>1828</v>
      </c>
      <c r="I28">
        <v>7312</v>
      </c>
      <c r="J28">
        <v>3144</v>
      </c>
    </row>
    <row r="29" spans="1:10" x14ac:dyDescent="0.25">
      <c r="A29">
        <v>1028</v>
      </c>
      <c r="B29" s="4" t="s">
        <v>47</v>
      </c>
      <c r="C29" s="4" t="s">
        <v>116</v>
      </c>
      <c r="D29" t="s">
        <v>14</v>
      </c>
      <c r="E29" t="s">
        <v>15</v>
      </c>
      <c r="F29">
        <v>2</v>
      </c>
      <c r="G29">
        <v>1880</v>
      </c>
      <c r="H29">
        <v>2118</v>
      </c>
      <c r="I29">
        <v>4236</v>
      </c>
      <c r="J29">
        <v>476</v>
      </c>
    </row>
    <row r="30" spans="1:10" x14ac:dyDescent="0.25">
      <c r="A30">
        <v>1029</v>
      </c>
      <c r="B30" s="4" t="s">
        <v>44</v>
      </c>
      <c r="C30" s="4" t="s">
        <v>114</v>
      </c>
      <c r="D30" t="s">
        <v>16</v>
      </c>
      <c r="E30" t="s">
        <v>17</v>
      </c>
      <c r="F30">
        <v>2</v>
      </c>
      <c r="G30">
        <v>981</v>
      </c>
      <c r="H30">
        <v>1105</v>
      </c>
      <c r="I30">
        <v>2210</v>
      </c>
      <c r="J30">
        <v>248</v>
      </c>
    </row>
    <row r="31" spans="1:10" x14ac:dyDescent="0.25">
      <c r="A31">
        <v>1030</v>
      </c>
      <c r="B31" s="4" t="s">
        <v>48</v>
      </c>
      <c r="C31" s="4" t="s">
        <v>114</v>
      </c>
      <c r="D31" t="s">
        <v>18</v>
      </c>
      <c r="E31" t="s">
        <v>19</v>
      </c>
      <c r="F31">
        <v>5</v>
      </c>
      <c r="G31">
        <v>1584</v>
      </c>
      <c r="H31">
        <v>2100</v>
      </c>
      <c r="I31">
        <v>10500</v>
      </c>
      <c r="J31">
        <v>2580</v>
      </c>
    </row>
    <row r="32" spans="1:10" x14ac:dyDescent="0.25">
      <c r="A32">
        <v>1031</v>
      </c>
      <c r="B32" s="4" t="s">
        <v>37</v>
      </c>
      <c r="C32" s="4" t="s">
        <v>115</v>
      </c>
      <c r="D32" t="s">
        <v>13</v>
      </c>
      <c r="E32" t="s">
        <v>10</v>
      </c>
      <c r="F32">
        <v>6</v>
      </c>
      <c r="G32">
        <v>1277</v>
      </c>
      <c r="H32">
        <v>2054</v>
      </c>
      <c r="I32">
        <v>12324</v>
      </c>
      <c r="J32">
        <v>4662</v>
      </c>
    </row>
    <row r="33" spans="1:10" x14ac:dyDescent="0.25">
      <c r="A33">
        <v>1032</v>
      </c>
      <c r="B33" s="4" t="s">
        <v>49</v>
      </c>
      <c r="C33" s="4" t="s">
        <v>114</v>
      </c>
      <c r="D33" t="s">
        <v>9</v>
      </c>
      <c r="E33" t="s">
        <v>10</v>
      </c>
      <c r="F33">
        <v>3</v>
      </c>
      <c r="G33">
        <v>1640</v>
      </c>
      <c r="H33">
        <v>2221</v>
      </c>
      <c r="I33">
        <v>6663</v>
      </c>
      <c r="J33">
        <v>1743</v>
      </c>
    </row>
    <row r="34" spans="1:10" x14ac:dyDescent="0.25">
      <c r="A34">
        <v>1033</v>
      </c>
      <c r="B34" s="4" t="s">
        <v>50</v>
      </c>
      <c r="C34" s="4" t="s">
        <v>118</v>
      </c>
      <c r="D34" t="s">
        <v>9</v>
      </c>
      <c r="E34" t="s">
        <v>10</v>
      </c>
      <c r="F34">
        <v>1</v>
      </c>
      <c r="G34">
        <v>108</v>
      </c>
      <c r="H34">
        <v>510</v>
      </c>
      <c r="I34">
        <v>510</v>
      </c>
      <c r="J34">
        <v>402</v>
      </c>
    </row>
    <row r="35" spans="1:10" x14ac:dyDescent="0.25">
      <c r="A35">
        <v>1034</v>
      </c>
      <c r="B35" s="4" t="s">
        <v>51</v>
      </c>
      <c r="C35" s="4" t="s">
        <v>117</v>
      </c>
      <c r="D35" t="s">
        <v>16</v>
      </c>
      <c r="E35" t="s">
        <v>17</v>
      </c>
      <c r="F35">
        <v>5</v>
      </c>
      <c r="G35">
        <v>1431</v>
      </c>
      <c r="H35">
        <v>1931</v>
      </c>
      <c r="I35">
        <v>9655</v>
      </c>
      <c r="J35">
        <v>2500</v>
      </c>
    </row>
    <row r="36" spans="1:10" x14ac:dyDescent="0.25">
      <c r="A36">
        <v>1035</v>
      </c>
      <c r="B36" s="4" t="s">
        <v>52</v>
      </c>
      <c r="C36" s="4" t="s">
        <v>114</v>
      </c>
      <c r="D36" t="s">
        <v>20</v>
      </c>
      <c r="E36" t="s">
        <v>21</v>
      </c>
      <c r="F36">
        <v>4</v>
      </c>
      <c r="G36">
        <v>1654</v>
      </c>
      <c r="H36">
        <v>2199</v>
      </c>
      <c r="I36">
        <v>8796</v>
      </c>
      <c r="J36">
        <v>2180</v>
      </c>
    </row>
    <row r="37" spans="1:10" x14ac:dyDescent="0.25">
      <c r="A37">
        <v>1036</v>
      </c>
      <c r="B37" s="4" t="s">
        <v>53</v>
      </c>
      <c r="C37" s="4" t="s">
        <v>115</v>
      </c>
      <c r="D37" t="s">
        <v>9</v>
      </c>
      <c r="E37" t="s">
        <v>10</v>
      </c>
      <c r="F37">
        <v>2</v>
      </c>
      <c r="G37">
        <v>128</v>
      </c>
      <c r="H37">
        <v>628</v>
      </c>
      <c r="I37">
        <v>1256</v>
      </c>
      <c r="J37">
        <v>1000</v>
      </c>
    </row>
    <row r="38" spans="1:10" x14ac:dyDescent="0.25">
      <c r="A38">
        <v>1037</v>
      </c>
      <c r="B38" s="4" t="s">
        <v>52</v>
      </c>
      <c r="C38" s="4" t="s">
        <v>114</v>
      </c>
      <c r="D38" t="s">
        <v>20</v>
      </c>
      <c r="E38" t="s">
        <v>21</v>
      </c>
      <c r="F38">
        <v>2</v>
      </c>
      <c r="G38">
        <v>859</v>
      </c>
      <c r="H38">
        <v>1117</v>
      </c>
      <c r="I38">
        <v>2234</v>
      </c>
      <c r="J38">
        <v>516</v>
      </c>
    </row>
    <row r="39" spans="1:10" x14ac:dyDescent="0.25">
      <c r="A39">
        <v>1038</v>
      </c>
      <c r="B39" s="4" t="s">
        <v>54</v>
      </c>
      <c r="C39" s="4" t="s">
        <v>116</v>
      </c>
      <c r="D39" t="s">
        <v>11</v>
      </c>
      <c r="E39" t="s">
        <v>12</v>
      </c>
      <c r="F39">
        <v>6</v>
      </c>
      <c r="G39">
        <v>864</v>
      </c>
      <c r="H39">
        <v>1075</v>
      </c>
      <c r="I39">
        <v>6450</v>
      </c>
      <c r="J39">
        <v>1266</v>
      </c>
    </row>
    <row r="40" spans="1:10" x14ac:dyDescent="0.25">
      <c r="A40">
        <v>1039</v>
      </c>
      <c r="B40" s="4" t="s">
        <v>55</v>
      </c>
      <c r="C40" s="4" t="s">
        <v>116</v>
      </c>
      <c r="D40" t="s">
        <v>18</v>
      </c>
      <c r="E40" t="s">
        <v>19</v>
      </c>
      <c r="F40">
        <v>1</v>
      </c>
      <c r="G40">
        <v>1234</v>
      </c>
      <c r="H40">
        <v>1747</v>
      </c>
      <c r="I40">
        <v>1747</v>
      </c>
      <c r="J40">
        <v>513</v>
      </c>
    </row>
    <row r="41" spans="1:10" x14ac:dyDescent="0.25">
      <c r="A41">
        <v>1040</v>
      </c>
      <c r="B41" s="4" t="s">
        <v>56</v>
      </c>
      <c r="C41" s="4" t="s">
        <v>115</v>
      </c>
      <c r="D41" t="s">
        <v>11</v>
      </c>
      <c r="E41" t="s">
        <v>12</v>
      </c>
      <c r="F41">
        <v>2</v>
      </c>
      <c r="G41">
        <v>763</v>
      </c>
      <c r="H41">
        <v>962</v>
      </c>
      <c r="I41">
        <v>1924</v>
      </c>
      <c r="J41">
        <v>398</v>
      </c>
    </row>
    <row r="42" spans="1:10" x14ac:dyDescent="0.25">
      <c r="A42">
        <v>1041</v>
      </c>
      <c r="B42" s="4" t="s">
        <v>56</v>
      </c>
      <c r="C42" s="4" t="s">
        <v>115</v>
      </c>
      <c r="D42" t="s">
        <v>13</v>
      </c>
      <c r="E42" t="s">
        <v>10</v>
      </c>
      <c r="F42">
        <v>3</v>
      </c>
      <c r="G42">
        <v>986</v>
      </c>
      <c r="H42">
        <v>1669</v>
      </c>
      <c r="I42">
        <v>5007</v>
      </c>
      <c r="J42">
        <v>2049</v>
      </c>
    </row>
    <row r="43" spans="1:10" x14ac:dyDescent="0.25">
      <c r="A43">
        <v>1042</v>
      </c>
      <c r="B43" s="4" t="s">
        <v>34</v>
      </c>
      <c r="C43" s="4" t="s">
        <v>115</v>
      </c>
      <c r="D43" t="s">
        <v>14</v>
      </c>
      <c r="E43" t="s">
        <v>15</v>
      </c>
      <c r="F43">
        <v>4</v>
      </c>
      <c r="G43">
        <v>655</v>
      </c>
      <c r="H43">
        <v>1088</v>
      </c>
      <c r="I43">
        <v>4352</v>
      </c>
      <c r="J43">
        <v>1732</v>
      </c>
    </row>
    <row r="44" spans="1:10" x14ac:dyDescent="0.25">
      <c r="A44">
        <v>1043</v>
      </c>
      <c r="B44" s="4" t="s">
        <v>57</v>
      </c>
      <c r="C44" s="4" t="s">
        <v>117</v>
      </c>
      <c r="D44" t="s">
        <v>11</v>
      </c>
      <c r="E44" t="s">
        <v>12</v>
      </c>
      <c r="F44">
        <v>5</v>
      </c>
      <c r="G44">
        <v>1778</v>
      </c>
      <c r="H44">
        <v>2190</v>
      </c>
      <c r="I44">
        <v>10950</v>
      </c>
      <c r="J44">
        <v>2060</v>
      </c>
    </row>
    <row r="45" spans="1:10" x14ac:dyDescent="0.25">
      <c r="A45">
        <v>1044</v>
      </c>
      <c r="B45" s="4" t="s">
        <v>58</v>
      </c>
      <c r="C45" s="4" t="s">
        <v>115</v>
      </c>
      <c r="D45" t="s">
        <v>16</v>
      </c>
      <c r="E45" t="s">
        <v>17</v>
      </c>
      <c r="F45">
        <v>2</v>
      </c>
      <c r="G45">
        <v>1800</v>
      </c>
      <c r="H45">
        <v>2206</v>
      </c>
      <c r="I45">
        <v>4412</v>
      </c>
      <c r="J45">
        <v>812</v>
      </c>
    </row>
    <row r="46" spans="1:10" x14ac:dyDescent="0.25">
      <c r="A46">
        <v>1045</v>
      </c>
      <c r="B46" s="4" t="s">
        <v>29</v>
      </c>
      <c r="C46" s="4" t="s">
        <v>117</v>
      </c>
      <c r="D46" t="s">
        <v>16</v>
      </c>
      <c r="E46" t="s">
        <v>17</v>
      </c>
      <c r="F46">
        <v>4</v>
      </c>
      <c r="G46">
        <v>1948</v>
      </c>
      <c r="H46">
        <v>2434</v>
      </c>
      <c r="I46">
        <v>9736</v>
      </c>
      <c r="J46">
        <v>1944</v>
      </c>
    </row>
    <row r="47" spans="1:10" x14ac:dyDescent="0.25">
      <c r="A47">
        <v>1046</v>
      </c>
      <c r="B47" s="4" t="s">
        <v>46</v>
      </c>
      <c r="C47" s="4" t="s">
        <v>116</v>
      </c>
      <c r="D47" t="s">
        <v>20</v>
      </c>
      <c r="E47" t="s">
        <v>21</v>
      </c>
      <c r="F47">
        <v>1</v>
      </c>
      <c r="G47">
        <v>767</v>
      </c>
      <c r="H47">
        <v>1443</v>
      </c>
      <c r="I47">
        <v>1443</v>
      </c>
      <c r="J47">
        <v>676</v>
      </c>
    </row>
    <row r="48" spans="1:10" x14ac:dyDescent="0.25">
      <c r="A48">
        <v>1047</v>
      </c>
      <c r="B48" s="4" t="s">
        <v>59</v>
      </c>
      <c r="C48" s="4" t="s">
        <v>115</v>
      </c>
      <c r="D48" t="s">
        <v>11</v>
      </c>
      <c r="E48" t="s">
        <v>12</v>
      </c>
      <c r="F48">
        <v>2</v>
      </c>
      <c r="G48">
        <v>1123</v>
      </c>
      <c r="H48">
        <v>1601</v>
      </c>
      <c r="I48">
        <v>3202</v>
      </c>
      <c r="J48">
        <v>956</v>
      </c>
    </row>
    <row r="49" spans="1:10" x14ac:dyDescent="0.25">
      <c r="A49">
        <v>1048</v>
      </c>
      <c r="B49" s="4" t="s">
        <v>60</v>
      </c>
      <c r="C49" s="4" t="s">
        <v>116</v>
      </c>
      <c r="D49" t="s">
        <v>13</v>
      </c>
      <c r="E49" t="s">
        <v>10</v>
      </c>
      <c r="F49">
        <v>1</v>
      </c>
      <c r="G49">
        <v>1546</v>
      </c>
      <c r="H49">
        <v>1896</v>
      </c>
      <c r="I49">
        <v>1896</v>
      </c>
      <c r="J49">
        <v>350</v>
      </c>
    </row>
    <row r="50" spans="1:10" x14ac:dyDescent="0.25">
      <c r="A50">
        <v>1049</v>
      </c>
      <c r="B50" s="4" t="s">
        <v>46</v>
      </c>
      <c r="C50" s="4" t="s">
        <v>116</v>
      </c>
      <c r="D50" t="s">
        <v>11</v>
      </c>
      <c r="E50" t="s">
        <v>12</v>
      </c>
      <c r="F50">
        <v>6</v>
      </c>
      <c r="G50">
        <v>1976</v>
      </c>
      <c r="H50">
        <v>2668</v>
      </c>
      <c r="I50">
        <v>16008</v>
      </c>
      <c r="J50">
        <v>4152</v>
      </c>
    </row>
    <row r="51" spans="1:10" x14ac:dyDescent="0.25">
      <c r="A51">
        <v>1050</v>
      </c>
      <c r="B51" s="4" t="s">
        <v>61</v>
      </c>
      <c r="C51" s="4" t="s">
        <v>116</v>
      </c>
      <c r="D51" t="s">
        <v>11</v>
      </c>
      <c r="E51" t="s">
        <v>12</v>
      </c>
      <c r="F51">
        <v>4</v>
      </c>
      <c r="G51">
        <v>1829</v>
      </c>
      <c r="H51">
        <v>2603</v>
      </c>
      <c r="I51">
        <v>10412</v>
      </c>
      <c r="J51">
        <v>3096</v>
      </c>
    </row>
    <row r="52" spans="1:10" x14ac:dyDescent="0.25">
      <c r="A52">
        <v>1051</v>
      </c>
      <c r="B52" s="4" t="s">
        <v>62</v>
      </c>
      <c r="C52" s="4" t="s">
        <v>116</v>
      </c>
      <c r="D52" t="s">
        <v>22</v>
      </c>
      <c r="E52" t="s">
        <v>17</v>
      </c>
      <c r="F52">
        <v>3</v>
      </c>
      <c r="G52">
        <v>1959</v>
      </c>
      <c r="H52">
        <v>2301</v>
      </c>
      <c r="I52">
        <v>6903</v>
      </c>
      <c r="J52">
        <v>1026</v>
      </c>
    </row>
    <row r="53" spans="1:10" x14ac:dyDescent="0.25">
      <c r="A53">
        <v>1052</v>
      </c>
      <c r="B53" s="4" t="s">
        <v>63</v>
      </c>
      <c r="C53" s="4" t="s">
        <v>116</v>
      </c>
      <c r="D53" t="s">
        <v>16</v>
      </c>
      <c r="E53" t="s">
        <v>17</v>
      </c>
      <c r="F53">
        <v>4</v>
      </c>
      <c r="G53">
        <v>1740</v>
      </c>
      <c r="H53">
        <v>2333</v>
      </c>
      <c r="I53">
        <v>9332</v>
      </c>
      <c r="J53">
        <v>2372</v>
      </c>
    </row>
    <row r="54" spans="1:10" x14ac:dyDescent="0.25">
      <c r="A54">
        <v>1053</v>
      </c>
      <c r="B54" s="4" t="s">
        <v>64</v>
      </c>
      <c r="C54" s="4" t="s">
        <v>116</v>
      </c>
      <c r="D54" t="s">
        <v>9</v>
      </c>
      <c r="E54" t="s">
        <v>10</v>
      </c>
      <c r="F54">
        <v>3</v>
      </c>
      <c r="G54">
        <v>1540</v>
      </c>
      <c r="H54">
        <v>2320</v>
      </c>
      <c r="I54">
        <v>6960</v>
      </c>
      <c r="J54">
        <v>2340</v>
      </c>
    </row>
    <row r="55" spans="1:10" x14ac:dyDescent="0.25">
      <c r="A55">
        <v>1054</v>
      </c>
      <c r="B55" s="4" t="s">
        <v>60</v>
      </c>
      <c r="C55" s="4" t="s">
        <v>116</v>
      </c>
      <c r="D55" t="s">
        <v>16</v>
      </c>
      <c r="E55" t="s">
        <v>17</v>
      </c>
      <c r="F55">
        <v>2</v>
      </c>
      <c r="G55">
        <v>1764</v>
      </c>
      <c r="H55">
        <v>2327</v>
      </c>
      <c r="I55">
        <v>4654</v>
      </c>
      <c r="J55">
        <v>1126</v>
      </c>
    </row>
    <row r="56" spans="1:10" x14ac:dyDescent="0.25">
      <c r="A56">
        <v>1055</v>
      </c>
      <c r="B56" s="4" t="s">
        <v>47</v>
      </c>
      <c r="C56" s="4" t="s">
        <v>116</v>
      </c>
      <c r="D56" t="s">
        <v>22</v>
      </c>
      <c r="E56" t="s">
        <v>17</v>
      </c>
      <c r="F56">
        <v>3</v>
      </c>
      <c r="G56">
        <v>1216</v>
      </c>
      <c r="H56">
        <v>1367</v>
      </c>
      <c r="I56">
        <v>4101</v>
      </c>
      <c r="J56">
        <v>453</v>
      </c>
    </row>
    <row r="57" spans="1:10" x14ac:dyDescent="0.25">
      <c r="A57">
        <v>1056</v>
      </c>
      <c r="B57" s="4" t="s">
        <v>65</v>
      </c>
      <c r="C57" s="4" t="s">
        <v>116</v>
      </c>
      <c r="D57" t="s">
        <v>13</v>
      </c>
      <c r="E57" t="s">
        <v>10</v>
      </c>
      <c r="F57">
        <v>3</v>
      </c>
      <c r="G57">
        <v>1020</v>
      </c>
      <c r="H57">
        <v>1403</v>
      </c>
      <c r="I57">
        <v>4209</v>
      </c>
      <c r="J57">
        <v>1149</v>
      </c>
    </row>
    <row r="58" spans="1:10" x14ac:dyDescent="0.25">
      <c r="A58">
        <v>1057</v>
      </c>
      <c r="B58" s="4" t="s">
        <v>66</v>
      </c>
      <c r="C58" s="4" t="s">
        <v>117</v>
      </c>
      <c r="D58" t="s">
        <v>22</v>
      </c>
      <c r="E58" t="s">
        <v>17</v>
      </c>
      <c r="F58">
        <v>4</v>
      </c>
      <c r="G58">
        <v>1883</v>
      </c>
      <c r="H58">
        <v>2064</v>
      </c>
      <c r="I58">
        <v>8256</v>
      </c>
      <c r="J58">
        <v>724</v>
      </c>
    </row>
    <row r="59" spans="1:10" x14ac:dyDescent="0.25">
      <c r="A59">
        <v>1058</v>
      </c>
      <c r="B59" s="4" t="s">
        <v>67</v>
      </c>
      <c r="C59" s="4" t="s">
        <v>115</v>
      </c>
      <c r="D59" t="s">
        <v>14</v>
      </c>
      <c r="E59" t="s">
        <v>15</v>
      </c>
      <c r="F59">
        <v>2</v>
      </c>
      <c r="G59">
        <v>211</v>
      </c>
      <c r="H59">
        <v>934</v>
      </c>
      <c r="I59">
        <v>1868</v>
      </c>
      <c r="J59">
        <v>1446</v>
      </c>
    </row>
    <row r="60" spans="1:10" x14ac:dyDescent="0.25">
      <c r="A60">
        <v>1059</v>
      </c>
      <c r="B60" s="4" t="s">
        <v>68</v>
      </c>
      <c r="C60" s="4" t="s">
        <v>115</v>
      </c>
      <c r="D60" t="s">
        <v>14</v>
      </c>
      <c r="E60" t="s">
        <v>15</v>
      </c>
      <c r="F60">
        <v>6</v>
      </c>
      <c r="G60">
        <v>1384</v>
      </c>
      <c r="H60">
        <v>1788</v>
      </c>
      <c r="I60">
        <v>10728</v>
      </c>
      <c r="J60">
        <v>2424</v>
      </c>
    </row>
    <row r="61" spans="1:10" x14ac:dyDescent="0.25">
      <c r="A61">
        <v>1060</v>
      </c>
      <c r="B61" s="4" t="s">
        <v>40</v>
      </c>
      <c r="C61" s="4" t="s">
        <v>114</v>
      </c>
      <c r="D61" t="s">
        <v>13</v>
      </c>
      <c r="E61" t="s">
        <v>10</v>
      </c>
      <c r="F61">
        <v>1</v>
      </c>
      <c r="G61">
        <v>1352</v>
      </c>
      <c r="H61">
        <v>1809</v>
      </c>
      <c r="I61">
        <v>1809</v>
      </c>
      <c r="J61">
        <v>457</v>
      </c>
    </row>
    <row r="62" spans="1:10" x14ac:dyDescent="0.25">
      <c r="A62">
        <v>1061</v>
      </c>
      <c r="B62" s="4" t="s">
        <v>69</v>
      </c>
      <c r="C62" s="4" t="s">
        <v>114</v>
      </c>
      <c r="D62" t="s">
        <v>11</v>
      </c>
      <c r="E62" t="s">
        <v>12</v>
      </c>
      <c r="F62">
        <v>2</v>
      </c>
      <c r="G62">
        <v>1980</v>
      </c>
      <c r="H62">
        <v>2541</v>
      </c>
      <c r="I62">
        <v>5082</v>
      </c>
      <c r="J62">
        <v>1122</v>
      </c>
    </row>
    <row r="63" spans="1:10" x14ac:dyDescent="0.25">
      <c r="A63">
        <v>1062</v>
      </c>
      <c r="B63" s="4" t="s">
        <v>70</v>
      </c>
      <c r="C63" s="4" t="s">
        <v>117</v>
      </c>
      <c r="D63" t="s">
        <v>9</v>
      </c>
      <c r="E63" t="s">
        <v>10</v>
      </c>
      <c r="F63">
        <v>6</v>
      </c>
      <c r="G63">
        <v>1343</v>
      </c>
      <c r="H63">
        <v>1647</v>
      </c>
      <c r="I63">
        <v>9882</v>
      </c>
      <c r="J63">
        <v>1824</v>
      </c>
    </row>
    <row r="64" spans="1:10" x14ac:dyDescent="0.25">
      <c r="A64">
        <v>1063</v>
      </c>
      <c r="B64" s="4" t="s">
        <v>71</v>
      </c>
      <c r="C64" s="4" t="s">
        <v>116</v>
      </c>
      <c r="D64" t="s">
        <v>18</v>
      </c>
      <c r="E64" t="s">
        <v>19</v>
      </c>
      <c r="F64">
        <v>5</v>
      </c>
      <c r="G64">
        <v>1100</v>
      </c>
      <c r="H64">
        <v>1749</v>
      </c>
      <c r="I64">
        <v>8745</v>
      </c>
      <c r="J64">
        <v>3245</v>
      </c>
    </row>
    <row r="65" spans="1:10" x14ac:dyDescent="0.25">
      <c r="A65">
        <v>1064</v>
      </c>
      <c r="B65" s="4" t="s">
        <v>65</v>
      </c>
      <c r="C65" s="4" t="s">
        <v>116</v>
      </c>
      <c r="D65" t="s">
        <v>18</v>
      </c>
      <c r="E65" t="s">
        <v>19</v>
      </c>
      <c r="F65">
        <v>3</v>
      </c>
      <c r="G65">
        <v>1865</v>
      </c>
      <c r="H65">
        <v>2355</v>
      </c>
      <c r="I65">
        <v>7065</v>
      </c>
      <c r="J65">
        <v>1470</v>
      </c>
    </row>
    <row r="66" spans="1:10" x14ac:dyDescent="0.25">
      <c r="A66">
        <v>1065</v>
      </c>
      <c r="B66" s="4" t="s">
        <v>72</v>
      </c>
      <c r="C66" s="4" t="s">
        <v>114</v>
      </c>
      <c r="D66" t="s">
        <v>9</v>
      </c>
      <c r="E66" t="s">
        <v>10</v>
      </c>
      <c r="F66">
        <v>3</v>
      </c>
      <c r="G66">
        <v>1389</v>
      </c>
      <c r="H66">
        <v>1865</v>
      </c>
      <c r="I66">
        <v>5595</v>
      </c>
      <c r="J66">
        <v>1428</v>
      </c>
    </row>
    <row r="67" spans="1:10" x14ac:dyDescent="0.25">
      <c r="A67">
        <v>1066</v>
      </c>
      <c r="B67" s="4" t="s">
        <v>73</v>
      </c>
      <c r="C67" s="4" t="s">
        <v>116</v>
      </c>
      <c r="D67" t="s">
        <v>13</v>
      </c>
      <c r="E67" t="s">
        <v>10</v>
      </c>
      <c r="F67">
        <v>1</v>
      </c>
      <c r="G67">
        <v>218</v>
      </c>
      <c r="H67">
        <v>870</v>
      </c>
      <c r="I67">
        <v>870</v>
      </c>
      <c r="J67">
        <v>652</v>
      </c>
    </row>
    <row r="68" spans="1:10" x14ac:dyDescent="0.25">
      <c r="A68">
        <v>1067</v>
      </c>
      <c r="B68" s="4" t="s">
        <v>74</v>
      </c>
      <c r="C68" s="4" t="s">
        <v>116</v>
      </c>
      <c r="D68" t="s">
        <v>16</v>
      </c>
      <c r="E68" t="s">
        <v>17</v>
      </c>
      <c r="F68">
        <v>5</v>
      </c>
      <c r="G68">
        <v>1924</v>
      </c>
      <c r="H68">
        <v>2110</v>
      </c>
      <c r="I68">
        <v>10550</v>
      </c>
      <c r="J68">
        <v>930</v>
      </c>
    </row>
    <row r="69" spans="1:10" x14ac:dyDescent="0.25">
      <c r="A69">
        <v>1068</v>
      </c>
      <c r="B69" s="4" t="s">
        <v>75</v>
      </c>
      <c r="C69" s="4" t="s">
        <v>115</v>
      </c>
      <c r="D69" t="s">
        <v>18</v>
      </c>
      <c r="E69" t="s">
        <v>19</v>
      </c>
      <c r="F69">
        <v>4</v>
      </c>
      <c r="G69">
        <v>572</v>
      </c>
      <c r="H69">
        <v>1265</v>
      </c>
      <c r="I69">
        <v>5060</v>
      </c>
      <c r="J69">
        <v>2772</v>
      </c>
    </row>
    <row r="70" spans="1:10" x14ac:dyDescent="0.25">
      <c r="A70">
        <v>1069</v>
      </c>
      <c r="B70" s="4" t="s">
        <v>76</v>
      </c>
      <c r="C70" s="4" t="s">
        <v>117</v>
      </c>
      <c r="D70" t="s">
        <v>18</v>
      </c>
      <c r="E70" t="s">
        <v>19</v>
      </c>
      <c r="F70">
        <v>5</v>
      </c>
      <c r="G70">
        <v>285</v>
      </c>
      <c r="H70">
        <v>553</v>
      </c>
      <c r="I70">
        <v>2765</v>
      </c>
      <c r="J70">
        <v>1340</v>
      </c>
    </row>
    <row r="71" spans="1:10" x14ac:dyDescent="0.25">
      <c r="A71">
        <v>1070</v>
      </c>
      <c r="B71" s="4" t="s">
        <v>77</v>
      </c>
      <c r="C71" s="4" t="s">
        <v>117</v>
      </c>
      <c r="D71" t="s">
        <v>11</v>
      </c>
      <c r="E71" t="s">
        <v>12</v>
      </c>
      <c r="F71">
        <v>3</v>
      </c>
      <c r="G71">
        <v>767</v>
      </c>
      <c r="H71">
        <v>903</v>
      </c>
      <c r="I71">
        <v>2709</v>
      </c>
      <c r="J71">
        <v>408</v>
      </c>
    </row>
    <row r="72" spans="1:10" x14ac:dyDescent="0.25">
      <c r="A72">
        <v>1071</v>
      </c>
      <c r="B72" s="4" t="s">
        <v>57</v>
      </c>
      <c r="C72" s="4" t="s">
        <v>117</v>
      </c>
      <c r="D72" t="s">
        <v>11</v>
      </c>
      <c r="E72" t="s">
        <v>12</v>
      </c>
      <c r="F72">
        <v>3</v>
      </c>
      <c r="G72">
        <v>369</v>
      </c>
      <c r="H72">
        <v>1073</v>
      </c>
      <c r="I72">
        <v>3219</v>
      </c>
      <c r="J72">
        <v>2112</v>
      </c>
    </row>
    <row r="73" spans="1:10" x14ac:dyDescent="0.25">
      <c r="A73">
        <v>1072</v>
      </c>
      <c r="B73" s="4" t="s">
        <v>78</v>
      </c>
      <c r="C73" s="4" t="s">
        <v>115</v>
      </c>
      <c r="D73" t="s">
        <v>20</v>
      </c>
      <c r="E73" t="s">
        <v>21</v>
      </c>
      <c r="F73">
        <v>4</v>
      </c>
      <c r="G73">
        <v>1025</v>
      </c>
      <c r="H73">
        <v>1174</v>
      </c>
      <c r="I73">
        <v>4696</v>
      </c>
      <c r="J73">
        <v>596</v>
      </c>
    </row>
    <row r="74" spans="1:10" x14ac:dyDescent="0.25">
      <c r="A74">
        <v>1073</v>
      </c>
      <c r="B74" s="4" t="s">
        <v>79</v>
      </c>
      <c r="C74" s="4" t="s">
        <v>116</v>
      </c>
      <c r="D74" t="s">
        <v>11</v>
      </c>
      <c r="E74" t="s">
        <v>12</v>
      </c>
      <c r="F74">
        <v>4</v>
      </c>
      <c r="G74">
        <v>279</v>
      </c>
      <c r="H74">
        <v>710</v>
      </c>
      <c r="I74">
        <v>2840</v>
      </c>
      <c r="J74">
        <v>1724</v>
      </c>
    </row>
    <row r="75" spans="1:10" x14ac:dyDescent="0.25">
      <c r="A75">
        <v>1074</v>
      </c>
      <c r="B75" s="4" t="s">
        <v>80</v>
      </c>
      <c r="C75" s="4" t="s">
        <v>117</v>
      </c>
      <c r="D75" t="s">
        <v>20</v>
      </c>
      <c r="E75" t="s">
        <v>21</v>
      </c>
      <c r="F75">
        <v>4</v>
      </c>
      <c r="G75">
        <v>993</v>
      </c>
      <c r="H75">
        <v>1323</v>
      </c>
      <c r="I75">
        <v>5292</v>
      </c>
      <c r="J75">
        <v>1320</v>
      </c>
    </row>
    <row r="76" spans="1:10" x14ac:dyDescent="0.25">
      <c r="A76">
        <v>1075</v>
      </c>
      <c r="B76" s="4" t="s">
        <v>61</v>
      </c>
      <c r="C76" s="4" t="s">
        <v>116</v>
      </c>
      <c r="D76" t="s">
        <v>9</v>
      </c>
      <c r="E76" t="s">
        <v>10</v>
      </c>
      <c r="F76">
        <v>6</v>
      </c>
      <c r="G76">
        <v>167</v>
      </c>
      <c r="H76">
        <v>591</v>
      </c>
      <c r="I76">
        <v>3546</v>
      </c>
      <c r="J76">
        <v>2544</v>
      </c>
    </row>
    <row r="77" spans="1:10" x14ac:dyDescent="0.25">
      <c r="A77">
        <v>1076</v>
      </c>
      <c r="B77" s="4" t="s">
        <v>81</v>
      </c>
      <c r="C77" s="4" t="s">
        <v>117</v>
      </c>
      <c r="D77" t="s">
        <v>14</v>
      </c>
      <c r="E77" t="s">
        <v>15</v>
      </c>
      <c r="F77">
        <v>6</v>
      </c>
      <c r="G77">
        <v>1224</v>
      </c>
      <c r="H77">
        <v>1583</v>
      </c>
      <c r="I77">
        <v>9498</v>
      </c>
      <c r="J77">
        <v>2154</v>
      </c>
    </row>
    <row r="78" spans="1:10" x14ac:dyDescent="0.25">
      <c r="A78">
        <v>1077</v>
      </c>
      <c r="B78" s="4" t="s">
        <v>82</v>
      </c>
      <c r="C78" s="4" t="s">
        <v>115</v>
      </c>
      <c r="D78" t="s">
        <v>14</v>
      </c>
      <c r="E78" t="s">
        <v>15</v>
      </c>
      <c r="F78">
        <v>6</v>
      </c>
      <c r="G78">
        <v>222</v>
      </c>
      <c r="H78">
        <v>340</v>
      </c>
      <c r="I78">
        <v>2040</v>
      </c>
      <c r="J78">
        <v>708</v>
      </c>
    </row>
    <row r="79" spans="1:10" x14ac:dyDescent="0.25">
      <c r="A79">
        <v>1078</v>
      </c>
      <c r="B79" s="4" t="s">
        <v>83</v>
      </c>
      <c r="C79" s="4" t="s">
        <v>117</v>
      </c>
      <c r="D79" t="s">
        <v>22</v>
      </c>
      <c r="E79" t="s">
        <v>17</v>
      </c>
      <c r="F79">
        <v>5</v>
      </c>
      <c r="G79">
        <v>230</v>
      </c>
      <c r="H79">
        <v>336</v>
      </c>
      <c r="I79">
        <v>1680</v>
      </c>
      <c r="J79">
        <v>530</v>
      </c>
    </row>
    <row r="80" spans="1:10" x14ac:dyDescent="0.25">
      <c r="A80">
        <v>1079</v>
      </c>
      <c r="B80" s="4" t="s">
        <v>84</v>
      </c>
      <c r="C80" s="4" t="s">
        <v>114</v>
      </c>
      <c r="D80" t="s">
        <v>13</v>
      </c>
      <c r="E80" t="s">
        <v>10</v>
      </c>
      <c r="F80">
        <v>3</v>
      </c>
      <c r="G80">
        <v>1029</v>
      </c>
      <c r="H80">
        <v>1477</v>
      </c>
      <c r="I80">
        <v>4431</v>
      </c>
      <c r="J80">
        <v>1344</v>
      </c>
    </row>
    <row r="81" spans="1:10" x14ac:dyDescent="0.25">
      <c r="A81">
        <v>1080</v>
      </c>
      <c r="B81" s="4" t="s">
        <v>85</v>
      </c>
      <c r="C81" s="4" t="s">
        <v>116</v>
      </c>
      <c r="D81" t="s">
        <v>11</v>
      </c>
      <c r="E81" t="s">
        <v>12</v>
      </c>
      <c r="F81">
        <v>5</v>
      </c>
      <c r="G81">
        <v>607</v>
      </c>
      <c r="H81">
        <v>1316</v>
      </c>
      <c r="I81">
        <v>6580</v>
      </c>
      <c r="J81">
        <v>3545</v>
      </c>
    </row>
    <row r="82" spans="1:10" x14ac:dyDescent="0.25">
      <c r="A82">
        <v>1081</v>
      </c>
      <c r="B82" s="4" t="s">
        <v>86</v>
      </c>
      <c r="C82" s="4" t="s">
        <v>116</v>
      </c>
      <c r="D82" t="s">
        <v>18</v>
      </c>
      <c r="E82" t="s">
        <v>19</v>
      </c>
      <c r="F82">
        <v>4</v>
      </c>
      <c r="G82">
        <v>150</v>
      </c>
      <c r="H82">
        <v>484</v>
      </c>
      <c r="I82">
        <v>1936</v>
      </c>
      <c r="J82">
        <v>1336</v>
      </c>
    </row>
    <row r="83" spans="1:10" x14ac:dyDescent="0.25">
      <c r="A83">
        <v>1082</v>
      </c>
      <c r="B83" s="4" t="s">
        <v>87</v>
      </c>
      <c r="C83" s="4" t="s">
        <v>116</v>
      </c>
      <c r="D83" t="s">
        <v>14</v>
      </c>
      <c r="E83" t="s">
        <v>15</v>
      </c>
      <c r="F83">
        <v>3</v>
      </c>
      <c r="G83">
        <v>100</v>
      </c>
      <c r="H83">
        <v>638</v>
      </c>
      <c r="I83">
        <v>1914</v>
      </c>
      <c r="J83">
        <v>1614</v>
      </c>
    </row>
    <row r="84" spans="1:10" x14ac:dyDescent="0.25">
      <c r="A84">
        <v>1083</v>
      </c>
      <c r="B84" s="4" t="s">
        <v>88</v>
      </c>
      <c r="C84" s="4" t="s">
        <v>117</v>
      </c>
      <c r="D84" t="s">
        <v>18</v>
      </c>
      <c r="E84" t="s">
        <v>19</v>
      </c>
      <c r="F84">
        <v>4</v>
      </c>
      <c r="G84">
        <v>725</v>
      </c>
      <c r="H84">
        <v>1043</v>
      </c>
      <c r="I84">
        <v>4172</v>
      </c>
      <c r="J84">
        <v>1272</v>
      </c>
    </row>
    <row r="85" spans="1:10" x14ac:dyDescent="0.25">
      <c r="A85">
        <v>1084</v>
      </c>
      <c r="B85" s="4" t="s">
        <v>47</v>
      </c>
      <c r="C85" s="4" t="s">
        <v>116</v>
      </c>
      <c r="D85" t="s">
        <v>13</v>
      </c>
      <c r="E85" t="s">
        <v>10</v>
      </c>
      <c r="F85">
        <v>3</v>
      </c>
      <c r="G85">
        <v>829</v>
      </c>
      <c r="H85">
        <v>1364</v>
      </c>
      <c r="I85">
        <v>4092</v>
      </c>
      <c r="J85">
        <v>1605</v>
      </c>
    </row>
    <row r="86" spans="1:10" x14ac:dyDescent="0.25">
      <c r="A86">
        <v>1085</v>
      </c>
      <c r="B86" s="4" t="s">
        <v>89</v>
      </c>
      <c r="C86" s="4" t="s">
        <v>115</v>
      </c>
      <c r="D86" t="s">
        <v>20</v>
      </c>
      <c r="E86" t="s">
        <v>21</v>
      </c>
      <c r="F86">
        <v>5</v>
      </c>
      <c r="G86">
        <v>667</v>
      </c>
      <c r="H86">
        <v>932</v>
      </c>
      <c r="I86">
        <v>4660</v>
      </c>
      <c r="J86">
        <v>1325</v>
      </c>
    </row>
    <row r="87" spans="1:10" x14ac:dyDescent="0.25">
      <c r="A87">
        <v>1086</v>
      </c>
      <c r="B87" s="4" t="s">
        <v>49</v>
      </c>
      <c r="C87" s="4" t="s">
        <v>114</v>
      </c>
      <c r="D87" t="s">
        <v>11</v>
      </c>
      <c r="E87" t="s">
        <v>12</v>
      </c>
      <c r="F87">
        <v>3</v>
      </c>
      <c r="G87">
        <v>1437</v>
      </c>
      <c r="H87">
        <v>1685</v>
      </c>
      <c r="I87">
        <v>5055</v>
      </c>
      <c r="J87">
        <v>744</v>
      </c>
    </row>
    <row r="88" spans="1:10" x14ac:dyDescent="0.25">
      <c r="A88">
        <v>1087</v>
      </c>
      <c r="B88" s="4" t="s">
        <v>37</v>
      </c>
      <c r="C88" s="4" t="s">
        <v>115</v>
      </c>
      <c r="D88" t="s">
        <v>14</v>
      </c>
      <c r="E88" t="s">
        <v>15</v>
      </c>
      <c r="F88">
        <v>4</v>
      </c>
      <c r="G88">
        <v>852</v>
      </c>
      <c r="H88">
        <v>1158</v>
      </c>
      <c r="I88">
        <v>4632</v>
      </c>
      <c r="J88">
        <v>1224</v>
      </c>
    </row>
    <row r="89" spans="1:10" x14ac:dyDescent="0.25">
      <c r="A89">
        <v>1088</v>
      </c>
      <c r="B89" s="4" t="s">
        <v>90</v>
      </c>
      <c r="C89" s="4" t="s">
        <v>114</v>
      </c>
      <c r="D89" t="s">
        <v>11</v>
      </c>
      <c r="E89" t="s">
        <v>12</v>
      </c>
      <c r="F89">
        <v>4</v>
      </c>
      <c r="G89">
        <v>1197</v>
      </c>
      <c r="H89">
        <v>1844</v>
      </c>
      <c r="I89">
        <v>7376</v>
      </c>
      <c r="J89">
        <v>2588</v>
      </c>
    </row>
    <row r="90" spans="1:10" x14ac:dyDescent="0.25">
      <c r="A90">
        <v>1089</v>
      </c>
      <c r="B90" s="4" t="s">
        <v>91</v>
      </c>
      <c r="C90" s="4" t="s">
        <v>117</v>
      </c>
      <c r="D90" t="s">
        <v>11</v>
      </c>
      <c r="E90" t="s">
        <v>12</v>
      </c>
      <c r="F90">
        <v>3</v>
      </c>
      <c r="G90">
        <v>1724</v>
      </c>
      <c r="H90">
        <v>1832</v>
      </c>
      <c r="I90">
        <v>5496</v>
      </c>
      <c r="J90">
        <v>324</v>
      </c>
    </row>
    <row r="91" spans="1:10" x14ac:dyDescent="0.25">
      <c r="A91">
        <v>1090</v>
      </c>
      <c r="B91" s="4" t="s">
        <v>92</v>
      </c>
      <c r="C91" s="4" t="s">
        <v>114</v>
      </c>
      <c r="D91" t="s">
        <v>11</v>
      </c>
      <c r="E91" t="s">
        <v>12</v>
      </c>
      <c r="F91">
        <v>5</v>
      </c>
      <c r="G91">
        <v>1926</v>
      </c>
      <c r="H91">
        <v>2623</v>
      </c>
      <c r="I91">
        <v>13115</v>
      </c>
      <c r="J91">
        <v>3485</v>
      </c>
    </row>
    <row r="92" spans="1:10" x14ac:dyDescent="0.25">
      <c r="A92">
        <v>1091</v>
      </c>
      <c r="B92" s="4" t="s">
        <v>93</v>
      </c>
      <c r="C92" s="4" t="s">
        <v>114</v>
      </c>
      <c r="D92" t="s">
        <v>9</v>
      </c>
      <c r="E92" t="s">
        <v>10</v>
      </c>
      <c r="F92">
        <v>5</v>
      </c>
      <c r="G92">
        <v>1573</v>
      </c>
      <c r="H92">
        <v>1679</v>
      </c>
      <c r="I92">
        <v>8395</v>
      </c>
      <c r="J92">
        <v>530</v>
      </c>
    </row>
    <row r="93" spans="1:10" x14ac:dyDescent="0.25">
      <c r="A93">
        <v>1092</v>
      </c>
      <c r="B93" s="4" t="s">
        <v>36</v>
      </c>
      <c r="C93" s="4" t="s">
        <v>117</v>
      </c>
      <c r="D93" t="s">
        <v>13</v>
      </c>
      <c r="E93" t="s">
        <v>10</v>
      </c>
      <c r="F93">
        <v>6</v>
      </c>
      <c r="G93">
        <v>882</v>
      </c>
      <c r="H93">
        <v>1345</v>
      </c>
      <c r="I93">
        <v>8070</v>
      </c>
      <c r="J93">
        <v>2778</v>
      </c>
    </row>
    <row r="94" spans="1:10" x14ac:dyDescent="0.25">
      <c r="A94">
        <v>1093</v>
      </c>
      <c r="B94" s="4" t="s">
        <v>54</v>
      </c>
      <c r="C94" s="4" t="s">
        <v>116</v>
      </c>
      <c r="D94" t="s">
        <v>9</v>
      </c>
      <c r="E94" t="s">
        <v>10</v>
      </c>
      <c r="F94">
        <v>6</v>
      </c>
      <c r="G94">
        <v>1124</v>
      </c>
      <c r="H94">
        <v>1319</v>
      </c>
      <c r="I94">
        <v>7914</v>
      </c>
      <c r="J94">
        <v>1170</v>
      </c>
    </row>
    <row r="95" spans="1:10" x14ac:dyDescent="0.25">
      <c r="A95">
        <v>1094</v>
      </c>
      <c r="B95" s="4" t="s">
        <v>82</v>
      </c>
      <c r="C95" s="4" t="s">
        <v>115</v>
      </c>
      <c r="D95" t="s">
        <v>22</v>
      </c>
      <c r="E95" t="s">
        <v>17</v>
      </c>
      <c r="F95">
        <v>1</v>
      </c>
      <c r="G95">
        <v>892</v>
      </c>
      <c r="H95">
        <v>1674</v>
      </c>
      <c r="I95">
        <v>1674</v>
      </c>
      <c r="J95">
        <v>782</v>
      </c>
    </row>
    <row r="96" spans="1:10" x14ac:dyDescent="0.25">
      <c r="A96">
        <v>1095</v>
      </c>
      <c r="B96" s="4" t="s">
        <v>67</v>
      </c>
      <c r="C96" s="4" t="s">
        <v>115</v>
      </c>
      <c r="D96" t="s">
        <v>16</v>
      </c>
      <c r="E96" t="s">
        <v>17</v>
      </c>
      <c r="F96">
        <v>3</v>
      </c>
      <c r="G96">
        <v>1795</v>
      </c>
      <c r="H96">
        <v>2175</v>
      </c>
      <c r="I96">
        <v>6525</v>
      </c>
      <c r="J96">
        <v>1140</v>
      </c>
    </row>
    <row r="97" spans="1:10" x14ac:dyDescent="0.25">
      <c r="A97">
        <v>1096</v>
      </c>
      <c r="B97" s="4" t="s">
        <v>59</v>
      </c>
      <c r="C97" s="4" t="s">
        <v>115</v>
      </c>
      <c r="D97" t="s">
        <v>20</v>
      </c>
      <c r="E97" t="s">
        <v>21</v>
      </c>
      <c r="F97">
        <v>3</v>
      </c>
      <c r="G97">
        <v>1302</v>
      </c>
      <c r="H97">
        <v>1936</v>
      </c>
      <c r="I97">
        <v>5808</v>
      </c>
      <c r="J97">
        <v>1902</v>
      </c>
    </row>
    <row r="98" spans="1:10" x14ac:dyDescent="0.25">
      <c r="A98">
        <v>1097</v>
      </c>
      <c r="B98" s="4" t="s">
        <v>50</v>
      </c>
      <c r="C98" s="4" t="s">
        <v>118</v>
      </c>
      <c r="D98" t="s">
        <v>11</v>
      </c>
      <c r="E98" t="s">
        <v>12</v>
      </c>
      <c r="F98">
        <v>6</v>
      </c>
      <c r="G98">
        <v>1690</v>
      </c>
      <c r="H98">
        <v>2108</v>
      </c>
      <c r="I98">
        <v>12648</v>
      </c>
      <c r="J98">
        <v>2508</v>
      </c>
    </row>
    <row r="99" spans="1:10" x14ac:dyDescent="0.25">
      <c r="A99">
        <v>1098</v>
      </c>
      <c r="B99" s="4" t="s">
        <v>94</v>
      </c>
      <c r="C99" s="4" t="s">
        <v>117</v>
      </c>
      <c r="D99" t="s">
        <v>14</v>
      </c>
      <c r="E99" t="s">
        <v>15</v>
      </c>
      <c r="F99">
        <v>5</v>
      </c>
      <c r="G99">
        <v>1242</v>
      </c>
      <c r="H99">
        <v>1503</v>
      </c>
      <c r="I99">
        <v>7515</v>
      </c>
      <c r="J99">
        <v>1305</v>
      </c>
    </row>
    <row r="100" spans="1:10" x14ac:dyDescent="0.25">
      <c r="A100">
        <v>1099</v>
      </c>
      <c r="B100" s="4" t="s">
        <v>95</v>
      </c>
      <c r="C100" s="4" t="s">
        <v>116</v>
      </c>
      <c r="D100" t="s">
        <v>13</v>
      </c>
      <c r="E100" t="s">
        <v>10</v>
      </c>
      <c r="F100">
        <v>5</v>
      </c>
      <c r="G100">
        <v>801</v>
      </c>
      <c r="H100">
        <v>1293</v>
      </c>
      <c r="I100">
        <v>6465</v>
      </c>
      <c r="J100">
        <v>2460</v>
      </c>
    </row>
    <row r="101" spans="1:10" x14ac:dyDescent="0.25">
      <c r="A101">
        <v>1100</v>
      </c>
      <c r="B101" s="4" t="s">
        <v>85</v>
      </c>
      <c r="C101" s="4" t="s">
        <v>116</v>
      </c>
      <c r="D101" t="s">
        <v>9</v>
      </c>
      <c r="E101" t="s">
        <v>10</v>
      </c>
      <c r="F101">
        <v>3</v>
      </c>
      <c r="G101">
        <v>1626</v>
      </c>
      <c r="H101">
        <v>1987</v>
      </c>
      <c r="I101">
        <v>5961</v>
      </c>
      <c r="J101">
        <v>1083</v>
      </c>
    </row>
    <row r="102" spans="1:10" x14ac:dyDescent="0.25">
      <c r="A102">
        <v>1101</v>
      </c>
      <c r="B102" s="4" t="s">
        <v>62</v>
      </c>
      <c r="C102" s="4" t="s">
        <v>116</v>
      </c>
      <c r="D102" t="s">
        <v>14</v>
      </c>
      <c r="E102" t="s">
        <v>15</v>
      </c>
      <c r="F102">
        <v>2</v>
      </c>
      <c r="G102">
        <v>1380</v>
      </c>
      <c r="H102">
        <v>2050</v>
      </c>
      <c r="I102">
        <v>4100</v>
      </c>
      <c r="J102">
        <v>1340</v>
      </c>
    </row>
    <row r="103" spans="1:10" x14ac:dyDescent="0.25">
      <c r="A103">
        <v>1102</v>
      </c>
      <c r="B103" s="4" t="s">
        <v>93</v>
      </c>
      <c r="C103" s="4" t="s">
        <v>114</v>
      </c>
      <c r="D103" t="s">
        <v>11</v>
      </c>
      <c r="E103" t="s">
        <v>12</v>
      </c>
      <c r="F103">
        <v>5</v>
      </c>
      <c r="G103">
        <v>677</v>
      </c>
      <c r="H103">
        <v>1165</v>
      </c>
      <c r="I103">
        <v>5825</v>
      </c>
      <c r="J103">
        <v>2440</v>
      </c>
    </row>
    <row r="104" spans="1:10" x14ac:dyDescent="0.25">
      <c r="A104">
        <v>1103</v>
      </c>
      <c r="B104" s="4" t="s">
        <v>96</v>
      </c>
      <c r="C104" s="4" t="s">
        <v>114</v>
      </c>
      <c r="D104" t="s">
        <v>13</v>
      </c>
      <c r="E104" t="s">
        <v>10</v>
      </c>
      <c r="F104">
        <v>3</v>
      </c>
      <c r="G104">
        <v>978</v>
      </c>
      <c r="H104">
        <v>1363</v>
      </c>
      <c r="I104">
        <v>4089</v>
      </c>
      <c r="J104">
        <v>1155</v>
      </c>
    </row>
    <row r="105" spans="1:10" x14ac:dyDescent="0.25">
      <c r="A105">
        <v>1104</v>
      </c>
      <c r="B105" s="4" t="s">
        <v>80</v>
      </c>
      <c r="C105" s="4" t="s">
        <v>117</v>
      </c>
      <c r="D105" t="s">
        <v>11</v>
      </c>
      <c r="E105" t="s">
        <v>12</v>
      </c>
      <c r="F105">
        <v>4</v>
      </c>
      <c r="G105">
        <v>757</v>
      </c>
      <c r="H105">
        <v>1018</v>
      </c>
      <c r="I105">
        <v>4072</v>
      </c>
      <c r="J105">
        <v>1044</v>
      </c>
    </row>
    <row r="106" spans="1:10" x14ac:dyDescent="0.25">
      <c r="A106">
        <v>1105</v>
      </c>
      <c r="B106" s="4" t="s">
        <v>97</v>
      </c>
      <c r="C106" s="4" t="s">
        <v>117</v>
      </c>
      <c r="D106" t="s">
        <v>20</v>
      </c>
      <c r="E106" t="s">
        <v>21</v>
      </c>
      <c r="F106">
        <v>1</v>
      </c>
      <c r="G106">
        <v>1879</v>
      </c>
      <c r="H106">
        <v>2294</v>
      </c>
      <c r="I106">
        <v>2294</v>
      </c>
      <c r="J106">
        <v>415</v>
      </c>
    </row>
    <row r="107" spans="1:10" x14ac:dyDescent="0.25">
      <c r="A107">
        <v>1106</v>
      </c>
      <c r="B107" s="4" t="s">
        <v>69</v>
      </c>
      <c r="C107" s="4" t="s">
        <v>114</v>
      </c>
      <c r="D107" t="s">
        <v>9</v>
      </c>
      <c r="E107" t="s">
        <v>10</v>
      </c>
      <c r="F107">
        <v>1</v>
      </c>
      <c r="G107">
        <v>898</v>
      </c>
      <c r="H107">
        <v>1258</v>
      </c>
      <c r="I107">
        <v>1258</v>
      </c>
      <c r="J107">
        <v>360</v>
      </c>
    </row>
    <row r="108" spans="1:10" x14ac:dyDescent="0.25">
      <c r="A108">
        <v>1107</v>
      </c>
      <c r="B108" s="4" t="s">
        <v>98</v>
      </c>
      <c r="C108" s="4" t="s">
        <v>114</v>
      </c>
      <c r="D108" t="s">
        <v>9</v>
      </c>
      <c r="E108" t="s">
        <v>10</v>
      </c>
      <c r="F108">
        <v>4</v>
      </c>
      <c r="G108">
        <v>112</v>
      </c>
      <c r="H108">
        <v>756</v>
      </c>
      <c r="I108">
        <v>3024</v>
      </c>
      <c r="J108">
        <v>2576</v>
      </c>
    </row>
    <row r="109" spans="1:10" x14ac:dyDescent="0.25">
      <c r="A109">
        <v>1108</v>
      </c>
      <c r="B109" s="4" t="s">
        <v>99</v>
      </c>
      <c r="C109" s="4" t="s">
        <v>115</v>
      </c>
      <c r="D109" t="s">
        <v>20</v>
      </c>
      <c r="E109" t="s">
        <v>21</v>
      </c>
      <c r="F109">
        <v>3</v>
      </c>
      <c r="G109">
        <v>1997</v>
      </c>
      <c r="H109">
        <v>2766</v>
      </c>
      <c r="I109">
        <v>8298</v>
      </c>
      <c r="J109">
        <v>2307</v>
      </c>
    </row>
    <row r="110" spans="1:10" x14ac:dyDescent="0.25">
      <c r="A110">
        <v>1109</v>
      </c>
      <c r="B110" s="4" t="s">
        <v>93</v>
      </c>
      <c r="C110" s="4" t="s">
        <v>114</v>
      </c>
      <c r="D110" t="s">
        <v>13</v>
      </c>
      <c r="E110" t="s">
        <v>10</v>
      </c>
      <c r="F110">
        <v>5</v>
      </c>
      <c r="G110">
        <v>1716</v>
      </c>
      <c r="H110">
        <v>2189</v>
      </c>
      <c r="I110">
        <v>10945</v>
      </c>
      <c r="J110">
        <v>2365</v>
      </c>
    </row>
    <row r="111" spans="1:10" x14ac:dyDescent="0.25">
      <c r="A111">
        <v>1110</v>
      </c>
      <c r="B111" s="4" t="s">
        <v>80</v>
      </c>
      <c r="C111" s="4" t="s">
        <v>117</v>
      </c>
      <c r="D111" t="s">
        <v>13</v>
      </c>
      <c r="E111" t="s">
        <v>10</v>
      </c>
      <c r="F111">
        <v>2</v>
      </c>
      <c r="G111">
        <v>1684</v>
      </c>
      <c r="H111">
        <v>2192</v>
      </c>
      <c r="I111">
        <v>4384</v>
      </c>
      <c r="J111">
        <v>1016</v>
      </c>
    </row>
    <row r="112" spans="1:10" x14ac:dyDescent="0.25">
      <c r="A112">
        <v>1111</v>
      </c>
      <c r="B112" s="4" t="s">
        <v>44</v>
      </c>
      <c r="C112" s="4" t="s">
        <v>114</v>
      </c>
      <c r="D112" t="s">
        <v>11</v>
      </c>
      <c r="E112" t="s">
        <v>12</v>
      </c>
      <c r="F112">
        <v>1</v>
      </c>
      <c r="G112">
        <v>1923</v>
      </c>
      <c r="H112">
        <v>2231</v>
      </c>
      <c r="I112">
        <v>2231</v>
      </c>
      <c r="J112">
        <v>308</v>
      </c>
    </row>
    <row r="113" spans="1:10" x14ac:dyDescent="0.25">
      <c r="A113">
        <v>1112</v>
      </c>
      <c r="B113" s="4" t="s">
        <v>65</v>
      </c>
      <c r="C113" s="4" t="s">
        <v>116</v>
      </c>
      <c r="D113" t="s">
        <v>22</v>
      </c>
      <c r="E113" t="s">
        <v>17</v>
      </c>
      <c r="F113">
        <v>5</v>
      </c>
      <c r="G113">
        <v>1632</v>
      </c>
      <c r="H113">
        <v>2355</v>
      </c>
      <c r="I113">
        <v>11775</v>
      </c>
      <c r="J113">
        <v>3615</v>
      </c>
    </row>
    <row r="114" spans="1:10" x14ac:dyDescent="0.25">
      <c r="A114">
        <v>1113</v>
      </c>
      <c r="B114" s="4" t="s">
        <v>100</v>
      </c>
      <c r="C114" s="4" t="s">
        <v>115</v>
      </c>
      <c r="D114" t="s">
        <v>13</v>
      </c>
      <c r="E114" t="s">
        <v>10</v>
      </c>
      <c r="F114">
        <v>6</v>
      </c>
      <c r="G114">
        <v>1421</v>
      </c>
      <c r="H114">
        <v>1722</v>
      </c>
      <c r="I114">
        <v>10332</v>
      </c>
      <c r="J114">
        <v>1806</v>
      </c>
    </row>
    <row r="115" spans="1:10" x14ac:dyDescent="0.25">
      <c r="A115">
        <v>1114</v>
      </c>
      <c r="B115" s="4" t="s">
        <v>92</v>
      </c>
      <c r="C115" s="4" t="s">
        <v>114</v>
      </c>
      <c r="D115" t="s">
        <v>11</v>
      </c>
      <c r="E115" t="s">
        <v>12</v>
      </c>
      <c r="F115">
        <v>5</v>
      </c>
      <c r="G115">
        <v>752</v>
      </c>
      <c r="H115">
        <v>1178</v>
      </c>
      <c r="I115">
        <v>5890</v>
      </c>
      <c r="J115">
        <v>2130</v>
      </c>
    </row>
    <row r="116" spans="1:10" x14ac:dyDescent="0.25">
      <c r="A116">
        <v>1115</v>
      </c>
      <c r="B116" s="4" t="s">
        <v>26</v>
      </c>
      <c r="C116" s="4" t="s">
        <v>116</v>
      </c>
      <c r="D116" t="s">
        <v>14</v>
      </c>
      <c r="E116" t="s">
        <v>15</v>
      </c>
      <c r="F116">
        <v>5</v>
      </c>
      <c r="G116">
        <v>1217</v>
      </c>
      <c r="H116">
        <v>1639</v>
      </c>
      <c r="I116">
        <v>8195</v>
      </c>
      <c r="J116">
        <v>2110</v>
      </c>
    </row>
    <row r="117" spans="1:10" x14ac:dyDescent="0.25">
      <c r="A117">
        <v>1116</v>
      </c>
      <c r="B117" s="4" t="s">
        <v>35</v>
      </c>
      <c r="C117" s="4" t="s">
        <v>117</v>
      </c>
      <c r="D117" t="s">
        <v>11</v>
      </c>
      <c r="E117" t="s">
        <v>12</v>
      </c>
      <c r="F117">
        <v>6</v>
      </c>
      <c r="G117">
        <v>567</v>
      </c>
      <c r="H117">
        <v>974</v>
      </c>
      <c r="I117">
        <v>5844</v>
      </c>
      <c r="J117">
        <v>2442</v>
      </c>
    </row>
    <row r="118" spans="1:10" x14ac:dyDescent="0.25">
      <c r="A118">
        <v>1117</v>
      </c>
      <c r="B118" s="4" t="s">
        <v>53</v>
      </c>
      <c r="C118" s="4" t="s">
        <v>115</v>
      </c>
      <c r="D118" t="s">
        <v>16</v>
      </c>
      <c r="E118" t="s">
        <v>17</v>
      </c>
      <c r="F118">
        <v>1</v>
      </c>
      <c r="G118">
        <v>881</v>
      </c>
      <c r="H118">
        <v>1024</v>
      </c>
      <c r="I118">
        <v>1024</v>
      </c>
      <c r="J118">
        <v>143</v>
      </c>
    </row>
    <row r="119" spans="1:10" x14ac:dyDescent="0.25">
      <c r="A119">
        <v>1118</v>
      </c>
      <c r="B119" s="4" t="s">
        <v>101</v>
      </c>
      <c r="C119" s="4" t="s">
        <v>117</v>
      </c>
      <c r="D119" t="s">
        <v>14</v>
      </c>
      <c r="E119" t="s">
        <v>15</v>
      </c>
      <c r="F119">
        <v>4</v>
      </c>
      <c r="G119">
        <v>565</v>
      </c>
      <c r="H119">
        <v>1273</v>
      </c>
      <c r="I119">
        <v>5092</v>
      </c>
      <c r="J119">
        <v>2832</v>
      </c>
    </row>
    <row r="120" spans="1:10" x14ac:dyDescent="0.25">
      <c r="A120">
        <v>1119</v>
      </c>
      <c r="B120" s="4" t="s">
        <v>102</v>
      </c>
      <c r="C120" s="4" t="s">
        <v>116</v>
      </c>
      <c r="D120" t="s">
        <v>13</v>
      </c>
      <c r="E120" t="s">
        <v>10</v>
      </c>
      <c r="F120">
        <v>1</v>
      </c>
      <c r="G120">
        <v>1910</v>
      </c>
      <c r="H120">
        <v>2193</v>
      </c>
      <c r="I120">
        <v>2193</v>
      </c>
      <c r="J120">
        <v>283</v>
      </c>
    </row>
    <row r="121" spans="1:10" x14ac:dyDescent="0.25">
      <c r="A121">
        <v>1120</v>
      </c>
      <c r="B121" s="4" t="s">
        <v>41</v>
      </c>
      <c r="C121" s="4" t="s">
        <v>117</v>
      </c>
      <c r="D121" t="s">
        <v>16</v>
      </c>
      <c r="E121" t="s">
        <v>17</v>
      </c>
      <c r="F121">
        <v>6</v>
      </c>
      <c r="G121">
        <v>859</v>
      </c>
      <c r="H121">
        <v>985</v>
      </c>
      <c r="I121">
        <v>5910</v>
      </c>
      <c r="J121">
        <v>756</v>
      </c>
    </row>
    <row r="122" spans="1:10" x14ac:dyDescent="0.25">
      <c r="A122">
        <v>1121</v>
      </c>
      <c r="B122" s="4" t="s">
        <v>27</v>
      </c>
      <c r="C122" s="4" t="s">
        <v>114</v>
      </c>
      <c r="D122" t="s">
        <v>14</v>
      </c>
      <c r="E122" t="s">
        <v>15</v>
      </c>
      <c r="F122">
        <v>4</v>
      </c>
      <c r="G122">
        <v>1505</v>
      </c>
      <c r="H122">
        <v>2168</v>
      </c>
      <c r="I122">
        <v>8672</v>
      </c>
      <c r="J122">
        <v>2652</v>
      </c>
    </row>
    <row r="123" spans="1:10" x14ac:dyDescent="0.25">
      <c r="A123">
        <v>1122</v>
      </c>
      <c r="B123" s="4" t="s">
        <v>95</v>
      </c>
      <c r="C123" s="4" t="s">
        <v>116</v>
      </c>
      <c r="D123" t="s">
        <v>20</v>
      </c>
      <c r="E123" t="s">
        <v>21</v>
      </c>
      <c r="F123">
        <v>1</v>
      </c>
      <c r="G123">
        <v>1089</v>
      </c>
      <c r="H123">
        <v>1381</v>
      </c>
      <c r="I123">
        <v>1381</v>
      </c>
      <c r="J123">
        <v>292</v>
      </c>
    </row>
    <row r="124" spans="1:10" x14ac:dyDescent="0.25">
      <c r="A124">
        <v>1123</v>
      </c>
      <c r="B124" s="4" t="s">
        <v>56</v>
      </c>
      <c r="C124" s="4" t="s">
        <v>115</v>
      </c>
      <c r="D124" t="s">
        <v>11</v>
      </c>
      <c r="E124" t="s">
        <v>12</v>
      </c>
      <c r="F124">
        <v>6</v>
      </c>
      <c r="G124">
        <v>371</v>
      </c>
      <c r="H124">
        <v>586</v>
      </c>
      <c r="I124">
        <v>3516</v>
      </c>
      <c r="J124">
        <v>1290</v>
      </c>
    </row>
    <row r="125" spans="1:10" x14ac:dyDescent="0.25">
      <c r="A125">
        <v>1124</v>
      </c>
      <c r="B125" s="4" t="s">
        <v>103</v>
      </c>
      <c r="C125" s="4" t="s">
        <v>117</v>
      </c>
      <c r="D125" t="s">
        <v>16</v>
      </c>
      <c r="E125" t="s">
        <v>17</v>
      </c>
      <c r="F125">
        <v>5</v>
      </c>
      <c r="G125">
        <v>1885</v>
      </c>
      <c r="H125">
        <v>2306</v>
      </c>
      <c r="I125">
        <v>11530</v>
      </c>
      <c r="J125">
        <v>2105</v>
      </c>
    </row>
    <row r="126" spans="1:10" x14ac:dyDescent="0.25">
      <c r="A126">
        <v>1125</v>
      </c>
      <c r="B126" s="4" t="s">
        <v>104</v>
      </c>
      <c r="C126" s="4" t="s">
        <v>114</v>
      </c>
      <c r="D126" t="s">
        <v>9</v>
      </c>
      <c r="E126" t="s">
        <v>10</v>
      </c>
      <c r="F126">
        <v>1</v>
      </c>
      <c r="G126">
        <v>895</v>
      </c>
      <c r="H126">
        <v>1385</v>
      </c>
      <c r="I126">
        <v>1385</v>
      </c>
      <c r="J126">
        <v>490</v>
      </c>
    </row>
    <row r="127" spans="1:10" x14ac:dyDescent="0.25">
      <c r="A127">
        <v>1126</v>
      </c>
      <c r="B127" s="4" t="s">
        <v>105</v>
      </c>
      <c r="C127" s="4" t="s">
        <v>114</v>
      </c>
      <c r="D127" t="s">
        <v>22</v>
      </c>
      <c r="E127" t="s">
        <v>17</v>
      </c>
      <c r="F127">
        <v>1</v>
      </c>
      <c r="G127">
        <v>752</v>
      </c>
      <c r="H127">
        <v>1320</v>
      </c>
      <c r="I127">
        <v>1320</v>
      </c>
      <c r="J127">
        <v>568</v>
      </c>
    </row>
    <row r="128" spans="1:10" x14ac:dyDescent="0.25">
      <c r="A128">
        <v>1127</v>
      </c>
      <c r="B128" s="4" t="s">
        <v>95</v>
      </c>
      <c r="C128" s="4" t="s">
        <v>116</v>
      </c>
      <c r="D128" t="s">
        <v>9</v>
      </c>
      <c r="E128" t="s">
        <v>10</v>
      </c>
      <c r="F128">
        <v>6</v>
      </c>
      <c r="G128">
        <v>1141</v>
      </c>
      <c r="H128">
        <v>1685</v>
      </c>
      <c r="I128">
        <v>10110</v>
      </c>
      <c r="J128">
        <v>3264</v>
      </c>
    </row>
    <row r="129" spans="1:10" x14ac:dyDescent="0.25">
      <c r="A129">
        <v>1128</v>
      </c>
      <c r="B129" s="4" t="s">
        <v>46</v>
      </c>
      <c r="C129" s="4" t="s">
        <v>116</v>
      </c>
      <c r="D129" t="s">
        <v>22</v>
      </c>
      <c r="E129" t="s">
        <v>17</v>
      </c>
      <c r="F129">
        <v>5</v>
      </c>
      <c r="G129">
        <v>381</v>
      </c>
      <c r="H129">
        <v>926</v>
      </c>
      <c r="I129">
        <v>4630</v>
      </c>
      <c r="J129">
        <v>2725</v>
      </c>
    </row>
    <row r="130" spans="1:10" x14ac:dyDescent="0.25">
      <c r="A130">
        <v>1129</v>
      </c>
      <c r="B130" s="4" t="s">
        <v>84</v>
      </c>
      <c r="C130" s="4" t="s">
        <v>114</v>
      </c>
      <c r="D130" t="s">
        <v>18</v>
      </c>
      <c r="E130" t="s">
        <v>19</v>
      </c>
      <c r="F130">
        <v>2</v>
      </c>
      <c r="G130">
        <v>215</v>
      </c>
      <c r="H130">
        <v>925</v>
      </c>
      <c r="I130">
        <v>1850</v>
      </c>
      <c r="J130">
        <v>1420</v>
      </c>
    </row>
    <row r="131" spans="1:10" x14ac:dyDescent="0.25">
      <c r="A131">
        <v>1130</v>
      </c>
      <c r="B131" s="4" t="s">
        <v>95</v>
      </c>
      <c r="C131" s="4" t="s">
        <v>116</v>
      </c>
      <c r="D131" t="s">
        <v>11</v>
      </c>
      <c r="E131" t="s">
        <v>12</v>
      </c>
      <c r="F131">
        <v>6</v>
      </c>
      <c r="G131">
        <v>578</v>
      </c>
      <c r="H131">
        <v>1330</v>
      </c>
      <c r="I131">
        <v>7980</v>
      </c>
      <c r="J131">
        <v>4512</v>
      </c>
    </row>
    <row r="132" spans="1:10" x14ac:dyDescent="0.25">
      <c r="A132">
        <v>1131</v>
      </c>
      <c r="B132" s="4" t="s">
        <v>32</v>
      </c>
      <c r="C132" s="4" t="s">
        <v>114</v>
      </c>
      <c r="D132" t="s">
        <v>16</v>
      </c>
      <c r="E132" t="s">
        <v>17</v>
      </c>
      <c r="F132">
        <v>2</v>
      </c>
      <c r="G132">
        <v>1334</v>
      </c>
      <c r="H132">
        <v>2122</v>
      </c>
      <c r="I132">
        <v>4244</v>
      </c>
      <c r="J132">
        <v>1576</v>
      </c>
    </row>
    <row r="133" spans="1:10" x14ac:dyDescent="0.25">
      <c r="A133">
        <v>1132</v>
      </c>
      <c r="B133" s="4" t="s">
        <v>104</v>
      </c>
      <c r="C133" s="4" t="s">
        <v>114</v>
      </c>
      <c r="D133" t="s">
        <v>18</v>
      </c>
      <c r="E133" t="s">
        <v>19</v>
      </c>
      <c r="F133">
        <v>6</v>
      </c>
      <c r="G133">
        <v>203</v>
      </c>
      <c r="H133">
        <v>340</v>
      </c>
      <c r="I133">
        <v>2040</v>
      </c>
      <c r="J133">
        <v>822</v>
      </c>
    </row>
    <row r="134" spans="1:10" x14ac:dyDescent="0.25">
      <c r="A134">
        <v>1133</v>
      </c>
      <c r="B134" s="4" t="s">
        <v>106</v>
      </c>
      <c r="C134" s="4" t="s">
        <v>115</v>
      </c>
      <c r="D134" t="s">
        <v>18</v>
      </c>
      <c r="E134" t="s">
        <v>19</v>
      </c>
      <c r="F134">
        <v>3</v>
      </c>
      <c r="G134">
        <v>557</v>
      </c>
      <c r="H134">
        <v>845</v>
      </c>
      <c r="I134">
        <v>2535</v>
      </c>
      <c r="J134">
        <v>864</v>
      </c>
    </row>
    <row r="135" spans="1:10" x14ac:dyDescent="0.25">
      <c r="A135">
        <v>1134</v>
      </c>
      <c r="B135" s="4" t="s">
        <v>55</v>
      </c>
      <c r="C135" s="4" t="s">
        <v>116</v>
      </c>
      <c r="D135" t="s">
        <v>18</v>
      </c>
      <c r="E135" t="s">
        <v>19</v>
      </c>
      <c r="F135">
        <v>4</v>
      </c>
      <c r="G135">
        <v>1552</v>
      </c>
      <c r="H135">
        <v>1742</v>
      </c>
      <c r="I135">
        <v>6968</v>
      </c>
      <c r="J135">
        <v>760</v>
      </c>
    </row>
    <row r="136" spans="1:10" x14ac:dyDescent="0.25">
      <c r="A136">
        <v>1135</v>
      </c>
      <c r="B136" s="4" t="s">
        <v>79</v>
      </c>
      <c r="C136" s="4" t="s">
        <v>116</v>
      </c>
      <c r="D136" t="s">
        <v>18</v>
      </c>
      <c r="E136" t="s">
        <v>19</v>
      </c>
      <c r="F136">
        <v>5</v>
      </c>
      <c r="G136">
        <v>1084</v>
      </c>
      <c r="H136">
        <v>1839</v>
      </c>
      <c r="I136">
        <v>9195</v>
      </c>
      <c r="J136">
        <v>3775</v>
      </c>
    </row>
    <row r="137" spans="1:10" x14ac:dyDescent="0.25">
      <c r="C137" s="4" t="s">
        <v>116</v>
      </c>
    </row>
    <row r="138" spans="1:10" x14ac:dyDescent="0.25">
      <c r="F138">
        <f>SUM(F10:F123)</f>
        <v>400</v>
      </c>
    </row>
    <row r="139" spans="1:10" x14ac:dyDescent="0.25">
      <c r="F139" s="11"/>
      <c r="G139" s="11"/>
      <c r="H139" s="11"/>
      <c r="I139" s="11"/>
      <c r="J139" s="11"/>
    </row>
  </sheetData>
  <autoFilter ref="A1:J138" xr:uid="{00000000-0001-0000-0000-000000000000}"/>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D7EA6-4190-40D4-A0F0-E6A7F2AF1C6F}">
  <dimension ref="G9"/>
  <sheetViews>
    <sheetView showGridLines="0" tabSelected="1" zoomScale="110" zoomScaleNormal="110" workbookViewId="0">
      <selection activeCell="S15" sqref="S15"/>
    </sheetView>
  </sheetViews>
  <sheetFormatPr defaultRowHeight="15" x14ac:dyDescent="0.25"/>
  <sheetData>
    <row r="9" spans="7:7" x14ac:dyDescent="0.25">
      <c r="G9"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Ecommerce_Data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swayam panchal</cp:lastModifiedBy>
  <dcterms:created xsi:type="dcterms:W3CDTF">2026-02-07T16:30:29Z</dcterms:created>
  <dcterms:modified xsi:type="dcterms:W3CDTF">2026-02-08T16:50:24Z</dcterms:modified>
</cp:coreProperties>
</file>